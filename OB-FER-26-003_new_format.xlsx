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7"/>
  </bookViews>
  <sheets>
    <sheet name="00_README" sheetId="1" state="visible" r:id="rId3"/>
    <sheet name="01 BATCH INFO" sheetId="2" state="visible" r:id="rId4"/>
    <sheet name="02 SEED MEDIA PREP" sheetId="3" state="visible" r:id="rId5"/>
    <sheet name="03_SEED INOCULATION" sheetId="4" state="visible" r:id="rId6"/>
    <sheet name="04_BATCH MEDIA PREP" sheetId="5" state="visible" r:id="rId7"/>
    <sheet name="05_INCUBATION SETUP" sheetId="6" state="visible" r:id="rId8"/>
    <sheet name="06_SEED GROWTH LOG" sheetId="7" state="visible" r:id="rId9"/>
    <sheet name="07_TRANSFER DECISION" sheetId="8" state="visible" r:id="rId10"/>
    <sheet name="08_BATCH INOCULATION" sheetId="9" state="visible" r:id="rId11"/>
    <sheet name="09_BATCH GROWTH LOG" sheetId="10" state="visible" r:id="rId12"/>
    <sheet name="10_STANDARD CURVES" sheetId="11" state="visible" r:id="rId13"/>
    <sheet name="11_ASSAY RESULTS" sheetId="12" state="visible" r:id="rId14"/>
    <sheet name="12_HARVEST" sheetId="13" state="visible" r:id="rId15"/>
    <sheet name="13_DOWNSTREAM" sheetId="14" state="visible" r:id="rId16"/>
    <sheet name="14_PRODUCT PREP" sheetId="15" state="visible" r:id="rId17"/>
    <sheet name="15_PLATING" sheetId="16" state="visible" r:id="rId18"/>
    <sheet name="16_CFU" sheetId="17" state="visible" r:id="rId19"/>
    <sheet name="17_MICROSCOPY" sheetId="18" state="visible" r:id="rId20"/>
    <sheet name="18_STABILITY" sheetId="19" state="visible" r:id="rId21"/>
    <sheet name="19_ISOLATES" sheetId="20" state="visible" r:id="rId22"/>
    <sheet name="20_DEVIATIONS" sheetId="21" state="visible" r:id="rId23"/>
    <sheet name="ANALYSIS" sheetId="22" state="visible" r:id="rId24"/>
    <sheet name="REF_EQUIPMENT"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<sst xmlns="http://schemas.openxmlformats.org/spreadsheetml/2006/main" count="1140" uniqueCount="557">
  <si>
    <t xml:space="preserve">OBI BATCH RECORD WORKBOOK</t>
  </si>
  <si>
    <t xml:space="preserve">Batch ID</t>
  </si>
  <si>
    <t xml:space="preserve">OB-FER-26-003  (legacy ID: OBI-26-FER-003)</t>
  </si>
  <si>
    <t xml:space="preserve">OB-EXP Ref</t>
  </si>
  <si>
    <t xml:space="preserve">FER-003</t>
  </si>
  <si>
    <t xml:space="preserve">Transcribed By</t>
  </si>
  <si>
    <t xml:space="preserve">LC / 28-05-2026</t>
  </si>
  <si>
    <t xml:space="preserve">Verified By</t>
  </si>
  <si>
    <t xml:space="preserve">MS / 28-05-2026</t>
  </si>
  <si>
    <t xml:space="preserve">CELL CONVENTIONS</t>
  </si>
  <si>
    <t xml:space="preserve">Plain bordered cells</t>
  </si>
  <si>
    <t xml:space="preserve">Enter data here.</t>
  </si>
  <si>
    <t xml:space="preserve">Grey italic cells</t>
  </si>
  <si>
    <t xml:space="preserve">Calculated. Do not type in these - typing destroys the formula.</t>
  </si>
  <si>
    <t xml:space="preserve">Blue cells</t>
  </si>
  <si>
    <t xml:space="preserve">Field names. Do not edit.</t>
  </si>
  <si>
    <t xml:space="preserve">TERMINOLOGY</t>
  </si>
  <si>
    <t xml:space="preserve">Seed</t>
  </si>
  <si>
    <t xml:space="preserve">The propagation culture grown up from a cryovial or a previous seed stage. Seed media, seed flask, seed growth.</t>
  </si>
  <si>
    <t xml:space="preserve">Batch</t>
  </si>
  <si>
    <t xml:space="preserve">The production flask containing the grain substrate. Batch media, batch inoculation, batch growth.</t>
  </si>
  <si>
    <t xml:space="preserve">Transfer</t>
  </si>
  <si>
    <t xml:space="preserve">Moving seed into the next seed stage or into the batch flask.</t>
  </si>
  <si>
    <t xml:space="preserve">ORDER OF WORK</t>
  </si>
  <si>
    <t xml:space="preserve">Why this order</t>
  </si>
  <si>
    <t xml:space="preserve">Seed is prepared and set to incubate first, because the batch cannot be inoculated without it. Batch media prep and sterilisation happen during the seed incubation wait, so tabs 04 and 05 sit between seed inoculation and seed growth.</t>
  </si>
  <si>
    <t xml:space="preserve">Seed stages</t>
  </si>
  <si>
    <t xml:space="preserve">Seed tabs carry a Seed Stage column. One stage is usual, two occasionally, three rarely - add a row per stage rather than copying tabs.</t>
  </si>
  <si>
    <t xml:space="preserve">ANALYSIS TAB</t>
  </si>
  <si>
    <t xml:space="preserve">How it works</t>
  </si>
  <si>
    <t xml:space="preserve">ANALYSIS is calculated, not typed. It pulls pH and OD from 09_BATCH GROWTH LOG and absorbance and titre from 11_ASSAY RESULTS, matching on Flask ID and Log hr, and derives concentrations and percent lactic acid. Enter data on the numbered tabs only.</t>
  </si>
  <si>
    <t xml:space="preserve">Matching key</t>
  </si>
  <si>
    <t xml:space="preserve">Flask ID and Log hr must be identical across tabs for the match to work. Flask ID is a dropdown sourced from the flask index on 01_BATCH INFO - always pick, never type.</t>
  </si>
  <si>
    <t xml:space="preserve">ASSUMPTIONS</t>
  </si>
  <si>
    <t xml:space="preserve">Standard curve</t>
  </si>
  <si>
    <t xml:space="preserve">One anthrone and one DNS curve per workbook, held on 10_STANDARD CURVES. If a second curve is run for this batch, use a second workbook or the derived concentrations will be wrong.</t>
  </si>
  <si>
    <t xml:space="preserve">Concordant titre</t>
  </si>
  <si>
    <t xml:space="preserve">The concordant mean averages Titre 2 and Titre 3, treating Titre 1 as the rough trial. If a different pair was concordant, overwrite the mean and note it in Remarks.</t>
  </si>
  <si>
    <t xml:space="preserve">Lactic acid</t>
  </si>
  <si>
    <t xml:space="preserve">% lactic acid (w/v) = titre (ml) x normality x 0.09008 / sample volume (ml) x 100.</t>
  </si>
  <si>
    <t xml:space="preserve">Total output</t>
  </si>
  <si>
    <t xml:space="preserve">Supernatant volume added to dried pellet weight on a 1 g per ml basis.</t>
  </si>
  <si>
    <t xml:space="preserve">Source of truth</t>
  </si>
  <si>
    <t xml:space="preserve">Where this workbook and the signed paper form disagree, the paper form governs. OxyOS remains the system of record.</t>
  </si>
  <si>
    <t xml:space="preserve">01  BATCH INFO</t>
  </si>
  <si>
    <t xml:space="preserve">Batch ID (OxyOS)</t>
  </si>
  <si>
    <t xml:space="preserve">OB-FER-26-003</t>
  </si>
  <si>
    <t xml:space="preserve">Trial Title / Objective</t>
  </si>
  <si>
    <t xml:space="preserve">Fermentation batch</t>
  </si>
  <si>
    <t xml:space="preserve">Date Started</t>
  </si>
  <si>
    <t xml:space="preserve">26-05-2026</t>
  </si>
  <si>
    <t xml:space="preserve">Analyst</t>
  </si>
  <si>
    <t xml:space="preserve">SK</t>
  </si>
  <si>
    <t xml:space="preserve">No. of Flasks in this Batch</t>
  </si>
  <si>
    <t xml:space="preserve">FLASK INDEX</t>
  </si>
  <si>
    <t xml:space="preserve">S.No</t>
  </si>
  <si>
    <t xml:space="preserve">Flask ID</t>
  </si>
  <si>
    <t xml:space="preserve">Treatment / Arm</t>
  </si>
  <si>
    <t xml:space="preserve">Notes</t>
  </si>
  <si>
    <t xml:space="preserve">F1</t>
  </si>
  <si>
    <t xml:space="preserve">SKU-1</t>
  </si>
  <si>
    <t xml:space="preserve">Duplicate</t>
  </si>
  <si>
    <t xml:space="preserve">F2</t>
  </si>
  <si>
    <t xml:space="preserve">OxyOS Batch Record ID</t>
  </si>
  <si>
    <t xml:space="preserve">OBI-26-FER-003</t>
  </si>
  <si>
    <t xml:space="preserve">Transcribed By / Date</t>
  </si>
  <si>
    <t xml:space="preserve">Verified By (2nd person) / Date</t>
  </si>
  <si>
    <t xml:space="preserve">Discrepancy Noted (Y/N)</t>
  </si>
  <si>
    <t xml:space="preserve">N</t>
  </si>
  <si>
    <t xml:space="preserve">02  SEED MEDIA PREP</t>
  </si>
  <si>
    <t xml:space="preserve">Seed Stage</t>
  </si>
  <si>
    <t xml:space="preserve">Media Type / Name</t>
  </si>
  <si>
    <t xml:space="preserve">Media Composition / SOP Ref</t>
  </si>
  <si>
    <t xml:space="preserve">Volume Prepared (ml)</t>
  </si>
  <si>
    <t xml:space="preserve">pH Before Steril.</t>
  </si>
  <si>
    <t xml:space="preserve">pH After Steril.</t>
  </si>
  <si>
    <t xml:space="preserve">Autoclave Log Ref</t>
  </si>
  <si>
    <t xml:space="preserve">Cycle ID</t>
  </si>
  <si>
    <t xml:space="preserve">Sterility Ref (pre-inoc)</t>
  </si>
  <si>
    <t xml:space="preserve">Prepared By</t>
  </si>
  <si>
    <t xml:space="preserve">N/A</t>
  </si>
  <si>
    <t xml:space="preserve">N/A - no propagation stage; inoculum added direct</t>
  </si>
  <si>
    <t xml:space="preserve">OB-LP-001 Protocol 1</t>
  </si>
  <si>
    <t xml:space="preserve">TRANSCRIPTION TO OxyOS</t>
  </si>
  <si>
    <t xml:space="preserve">OxyOS Seed Record ID</t>
  </si>
  <si>
    <t xml:space="preserve">03  SEED INOCULATION</t>
  </si>
  <si>
    <t xml:space="preserve">Source</t>
  </si>
  <si>
    <t xml:space="preserve">Cryovial ID / Prev Stage Ref</t>
  </si>
  <si>
    <t xml:space="preserve">Thaw Method</t>
  </si>
  <si>
    <t xml:space="preserve">Thaw Duration</t>
  </si>
  <si>
    <t xml:space="preserve">Post-thaw Visual Check</t>
  </si>
  <si>
    <t xml:space="preserve">Contam. Signs</t>
  </si>
  <si>
    <t xml:space="preserve">Inoculation Vol / Loop</t>
  </si>
  <si>
    <t xml:space="preserve">Seed Vessel / Flask ID</t>
  </si>
  <si>
    <t xml:space="preserve">Inoculation Date-Time</t>
  </si>
  <si>
    <t xml:space="preserve">Incubator Log Ref</t>
  </si>
  <si>
    <t xml:space="preserve">Incubator Type</t>
  </si>
  <si>
    <t xml:space="preserve">Temp Set (C) / RPM or CO2</t>
  </si>
  <si>
    <t xml:space="preserve">Performed By</t>
  </si>
  <si>
    <t xml:space="preserve">N/A - direct</t>
  </si>
  <si>
    <t xml:space="preserve">Cryovial (direct, no propagation)</t>
  </si>
  <si>
    <t xml:space="preserve">RCB-001</t>
  </si>
  <si>
    <t xml:space="preserve">Vial ID not recorded in the legacy sheet</t>
  </si>
  <si>
    <t xml:space="preserve">N/A - no thaw step recorded</t>
  </si>
  <si>
    <t xml:space="preserve">Not recorded</t>
  </si>
  <si>
    <t xml:space="preserve">5 ml thawed vial dispensed across F1 and F2 - per-flask % conflicts, see 20_DEVIATIONS</t>
  </si>
  <si>
    <t xml:space="preserve">F1, F2</t>
  </si>
  <si>
    <t xml:space="preserve">26-05-2026 08:55</t>
  </si>
  <si>
    <t xml:space="preserve">ACE-BT/CO2INC/001</t>
  </si>
  <si>
    <t xml:space="preserve">CO2</t>
  </si>
  <si>
    <t xml:space="preserve">37 C / 5% CO2</t>
  </si>
  <si>
    <t xml:space="preserve">MS</t>
  </si>
  <si>
    <t xml:space="preserve">04  BATCH MEDIA PREP</t>
  </si>
  <si>
    <t xml:space="preserve">SUBSTRATES</t>
  </si>
  <si>
    <t xml:space="preserve">Substrate</t>
  </si>
  <si>
    <t xml:space="preserve">Target Qty (g)</t>
  </si>
  <si>
    <t xml:space="preserve">Actual Qty (g)</t>
  </si>
  <si>
    <t xml:space="preserve">Deviation (g)</t>
  </si>
  <si>
    <t xml:space="preserve">Sprouted Ragi</t>
  </si>
  <si>
    <t xml:space="preserve">Karuppu Kavuni (KK) Black Rice</t>
  </si>
  <si>
    <t xml:space="preserve">Urad Dal</t>
  </si>
  <si>
    <t xml:space="preserve">PREPARATION</t>
  </si>
  <si>
    <t xml:space="preserve">Water / Liquid Vol. Added (ml)</t>
  </si>
  <si>
    <t xml:space="preserve">pH Before Adj.</t>
  </si>
  <si>
    <t xml:space="preserve">NA</t>
  </si>
  <si>
    <t xml:space="preserve">pH After Adj.</t>
  </si>
  <si>
    <t xml:space="preserve">Adjustment Agent (if any)</t>
  </si>
  <si>
    <t xml:space="preserve">Hot-stir Step Completed (Y/N)</t>
  </si>
  <si>
    <t xml:space="preserve">Time Completed</t>
  </si>
  <si>
    <t xml:space="preserve">STERILISATION</t>
  </si>
  <si>
    <t xml:space="preserve">Autoclave - Equipment Log Ref</t>
  </si>
  <si>
    <t xml:space="preserve">N/A - media not autoclaved for this batch</t>
  </si>
  <si>
    <t xml:space="preserve">Sterilisation Cycle ID</t>
  </si>
  <si>
    <t xml:space="preserve">Media Sterility Check (Y/N)</t>
  </si>
  <si>
    <t xml:space="preserve">Y</t>
  </si>
  <si>
    <t xml:space="preserve">Sterility Ref (15_PLATING / 17_MICROSCOPY)</t>
  </si>
  <si>
    <t xml:space="preserve">PL-01 (see 15_PLATING)</t>
  </si>
  <si>
    <t xml:space="preserve">Prepared By / Date-Time</t>
  </si>
  <si>
    <t xml:space="preserve">SK / 26-05-2026</t>
  </si>
  <si>
    <t xml:space="preserve">Deviation Noted (Y/N + note)</t>
  </si>
  <si>
    <t xml:space="preserve">400 ml prepared for 2 flasks = 200 ml per flask</t>
  </si>
  <si>
    <t xml:space="preserve">05  INCUBATION SETUP</t>
  </si>
  <si>
    <t xml:space="preserve">Incubator - Equipment Log Ref</t>
  </si>
  <si>
    <t xml:space="preserve">Temp Set (deg C)</t>
  </si>
  <si>
    <t xml:space="preserve">RPM (if shaker) / CO2 % (if CO2)</t>
  </si>
  <si>
    <t xml:space="preserve">Set By / Date-Time</t>
  </si>
  <si>
    <t xml:space="preserve">MS / 26-05-2026 08:55</t>
  </si>
  <si>
    <t xml:space="preserve"> </t>
  </si>
  <si>
    <t xml:space="preserve">06  SEED GROWTH LOG</t>
  </si>
  <si>
    <t xml:space="preserve">Time</t>
  </si>
  <si>
    <t xml:space="preserve">Elapsed (hr)</t>
  </si>
  <si>
    <t xml:space="preserve">pH</t>
  </si>
  <si>
    <t xml:space="preserve">OD</t>
  </si>
  <si>
    <t xml:space="preserve">Sample Vol Taken (ml)</t>
  </si>
  <si>
    <t xml:space="preserve">Remarks</t>
  </si>
  <si>
    <t xml:space="preserve">Recorded By</t>
  </si>
  <si>
    <t xml:space="preserve">N/A - OD not valid in curd matrix</t>
  </si>
  <si>
    <t xml:space="preserve">No propagation stage - inoculum added directly to the batch flasks. CFU not enumerated. Reference range for fresh same-day curd 1.4x10^7 to 2.5x10^8 CFU/ml (literature, not measured).</t>
  </si>
  <si>
    <t xml:space="preserve">07  TRANSFER DECISION</t>
  </si>
  <si>
    <t xml:space="preserve">Target versus actual at transfer, and where the seed went. One row per seed stage.</t>
  </si>
  <si>
    <t xml:space="preserve">Target OD</t>
  </si>
  <si>
    <t xml:space="preserve">Target pH</t>
  </si>
  <si>
    <t xml:space="preserve">Actual OD</t>
  </si>
  <si>
    <t xml:space="preserve">Actual pH</t>
  </si>
  <si>
    <t xml:space="preserve">Criteria Met</t>
  </si>
  <si>
    <t xml:space="preserve">If Not Met - justification</t>
  </si>
  <si>
    <t xml:space="preserve">Vol Out (ml)</t>
  </si>
  <si>
    <t xml:space="preserve">Transfer Date-Time</t>
  </si>
  <si>
    <t xml:space="preserve">Transferred To</t>
  </si>
  <si>
    <t xml:space="preserve">Next Stage Ref / Flask ID</t>
  </si>
  <si>
    <t xml:space="preserve">Sterility Ref (final)</t>
  </si>
  <si>
    <t xml:space="preserve">Generated By</t>
  </si>
  <si>
    <t xml:space="preserve">N/A - OD not a transfer criterion</t>
  </si>
  <si>
    <t xml:space="preserve">Yes</t>
  </si>
  <si>
    <t xml:space="preserve">Direct inoculation - no transfer criteria applied</t>
  </si>
  <si>
    <t xml:space="preserve">Batch flask</t>
  </si>
  <si>
    <t xml:space="preserve">LC</t>
  </si>
  <si>
    <t xml:space="preserve">08  BATCH INOCULATION</t>
  </si>
  <si>
    <t xml:space="preserve">Seed Stage Used</t>
  </si>
  <si>
    <t xml:space="preserve">Seed Vol / % Added</t>
  </si>
  <si>
    <t xml:space="preserve">Flask Vol (ml)</t>
  </si>
  <si>
    <t xml:space="preserve">Initial pH</t>
  </si>
  <si>
    <t xml:space="preserve">Initial Temp (C)</t>
  </si>
  <si>
    <t xml:space="preserve">Sterility Chk - Media</t>
  </si>
  <si>
    <t xml:space="preserve">Sterility Chk - Seed</t>
  </si>
  <si>
    <t xml:space="preserve">Inoculated By</t>
  </si>
  <si>
    <t xml:space="preserve">09  BATCH GROWTH LOG</t>
  </si>
  <si>
    <t xml:space="preserve">Log hr</t>
  </si>
  <si>
    <t xml:space="preserve">Date</t>
  </si>
  <si>
    <t xml:space="preserve">Sterility chk</t>
  </si>
  <si>
    <t xml:space="preserve">Sample Pulled (Y/N)</t>
  </si>
  <si>
    <t xml:space="preserve">09:00</t>
  </si>
  <si>
    <t xml:space="preserve">Clear</t>
  </si>
  <si>
    <t xml:space="preserve">15:00</t>
  </si>
  <si>
    <t xml:space="preserve">pH Reconstructed retrospectively - not contemporaneous</t>
  </si>
  <si>
    <t xml:space="preserve">21:00</t>
  </si>
  <si>
    <t xml:space="preserve">27-05-2026</t>
  </si>
  <si>
    <t xml:space="preserve">28-05-2026</t>
  </si>
  <si>
    <t xml:space="preserve">10  STANDARD CURVES</t>
  </si>
  <si>
    <t xml:space="preserve">Slope, intercept and R squared feed the derived concentrations on ANALYSIS. Check R squared before trusting any result.</t>
  </si>
  <si>
    <t xml:space="preserve">ANTHRONE  (625 nm)</t>
  </si>
  <si>
    <t xml:space="preserve">DNS  (540 nm)</t>
  </si>
  <si>
    <t xml:space="preserve">Std No.</t>
  </si>
  <si>
    <t xml:space="preserve">Conc (ug/ml)</t>
  </si>
  <si>
    <t xml:space="preserve">Absorbance</t>
  </si>
  <si>
    <t xml:space="preserve">Blank</t>
  </si>
  <si>
    <t xml:space="preserve">1</t>
  </si>
  <si>
    <t xml:space="preserve">2</t>
  </si>
  <si>
    <t xml:space="preserve">3</t>
  </si>
  <si>
    <t xml:space="preserve">4</t>
  </si>
  <si>
    <t xml:space="preserve">5</t>
  </si>
  <si>
    <t xml:space="preserve">6</t>
  </si>
  <si>
    <t xml:space="preserve">7</t>
  </si>
  <si>
    <t xml:space="preserve">Slope</t>
  </si>
  <si>
    <t xml:space="preserve">Intercept</t>
  </si>
  <si>
    <t xml:space="preserve">R squared</t>
  </si>
  <si>
    <t xml:space="preserve">Run Date</t>
  </si>
  <si>
    <t xml:space="preserve">Spectrophotometer Log Ref</t>
  </si>
  <si>
    <t xml:space="preserve">Range 0-60 ug/ml. Dilute before the reaction, never after colour development.</t>
  </si>
  <si>
    <t xml:space="preserve">Reducing sugars.</t>
  </si>
  <si>
    <t xml:space="preserve">11  ASSAY RESULTS</t>
  </si>
  <si>
    <t xml:space="preserve">Anthrone Abs</t>
  </si>
  <si>
    <t xml:space="preserve">Anthrone Dil Fac</t>
  </si>
  <si>
    <t xml:space="preserve">DNS Abs</t>
  </si>
  <si>
    <t xml:space="preserve">DNS Dil Fac</t>
  </si>
  <si>
    <t xml:space="preserve">Sample Vol Titrated (ml)</t>
  </si>
  <si>
    <t xml:space="preserve">NaOH Normality</t>
  </si>
  <si>
    <t xml:space="preserve">Titre 1 (ml)</t>
  </si>
  <si>
    <t xml:space="preserve">Titre 2 (ml)</t>
  </si>
  <si>
    <t xml:space="preserve">Titre 3 (ml)</t>
  </si>
  <si>
    <t xml:space="preserve">KEY (auto)</t>
  </si>
  <si>
    <t xml:space="preserve">12  HARVEST</t>
  </si>
  <si>
    <t xml:space="preserve">One row per flask at harvest.</t>
  </si>
  <si>
    <t xml:space="preserve">Harvest Log hr</t>
  </si>
  <si>
    <t xml:space="preserve">Harvest Date-Time</t>
  </si>
  <si>
    <t xml:space="preserve">Final pH</t>
  </si>
  <si>
    <t xml:space="preserve">Final OD</t>
  </si>
  <si>
    <t xml:space="preserve">Broth Weight (g)</t>
  </si>
  <si>
    <t xml:space="preserve">Broth Volume (ml)</t>
  </si>
  <si>
    <t xml:space="preserve">Sterility Chk Done</t>
  </si>
  <si>
    <t xml:space="preserve">Harvested By</t>
  </si>
  <si>
    <t xml:space="preserve">Disposition</t>
  </si>
  <si>
    <t xml:space="preserve">Storage Location / Temp</t>
  </si>
  <si>
    <t xml:space="preserve">Storage Start Date-Time</t>
  </si>
  <si>
    <t xml:space="preserve">28-05-2026 09:00</t>
  </si>
  <si>
    <t xml:space="preserve">Stored</t>
  </si>
  <si>
    <t xml:space="preserve">ACE-BT/REF/001 Refrigerator / 4 C</t>
  </si>
  <si>
    <t xml:space="preserve">30-05-2026</t>
  </si>
  <si>
    <t xml:space="preserve">13  DOWNSTREAM</t>
  </si>
  <si>
    <t xml:space="preserve">One row per flask per step. Seq numbers the steps in the order performed for that flask; Stream says which material the step acted on. Equipment cycle detail stays in the equipment log book - enter only its reference.</t>
  </si>
  <si>
    <t xml:space="preserve">Seq</t>
  </si>
  <si>
    <t xml:space="preserve">Step</t>
  </si>
  <si>
    <t xml:space="preserve">Stream Acted On</t>
  </si>
  <si>
    <t xml:space="preserve">Equipment Log Ref</t>
  </si>
  <si>
    <t xml:space="preserve">Wt/Vol In</t>
  </si>
  <si>
    <t xml:space="preserve">Wt/Vol Out</t>
  </si>
  <si>
    <t xml:space="preserve">Start Time</t>
  </si>
  <si>
    <t xml:space="preserve">End Time</t>
  </si>
  <si>
    <t xml:space="preserve">Centrifuging</t>
  </si>
  <si>
    <t xml:space="preserve">Whole broth</t>
  </si>
  <si>
    <t xml:space="preserve">ACE-BT/CENT/001</t>
  </si>
  <si>
    <t xml:space="preserve">13:00</t>
  </si>
  <si>
    <t xml:space="preserve">17:00</t>
  </si>
  <si>
    <t xml:space="preserve">Supernatant drawn off, pellet retained</t>
  </si>
  <si>
    <t xml:space="preserve">Drying</t>
  </si>
  <si>
    <t xml:space="preserve">Pellet</t>
  </si>
  <si>
    <t xml:space="preserve">ACE-BT/HAO/001</t>
  </si>
  <si>
    <t xml:space="preserve">29-05-2026; overnight dry</t>
  </si>
  <si>
    <t xml:space="preserve">Supernatant (ml)</t>
  </si>
  <si>
    <t xml:space="preserve">Pellet Wet (g)</t>
  </si>
  <si>
    <t xml:space="preserve">Pellet Dried (g)</t>
  </si>
  <si>
    <t xml:space="preserve">Total Output (g)</t>
  </si>
  <si>
    <t xml:space="preserve">Output Stored At</t>
  </si>
  <si>
    <t xml:space="preserve">Container / Label Ref</t>
  </si>
  <si>
    <t xml:space="preserve">Completed By</t>
  </si>
  <si>
    <t xml:space="preserve">ACE-BT/REF/001 Refrigerator</t>
  </si>
  <si>
    <t xml:space="preserve">14  PRODUCT PREP &amp; ANALYSIS</t>
  </si>
  <si>
    <t xml:space="preserve">Batch ID / OB-EXP Ref</t>
  </si>
  <si>
    <t xml:space="preserve">OB-FER-26-003 / FER-003</t>
  </si>
  <si>
    <t xml:space="preserve">Source Stream</t>
  </si>
  <si>
    <t xml:space="preserve">Both</t>
  </si>
  <si>
    <t xml:space="preserve">Source Flask ID(s)</t>
  </si>
  <si>
    <t xml:space="preserve">Component / Parameter</t>
  </si>
  <si>
    <t xml:space="preserve">F3</t>
  </si>
  <si>
    <t xml:space="preserve">F4</t>
  </si>
  <si>
    <t xml:space="preserve">A. FORMULATION - quantities per variant</t>
  </si>
  <si>
    <t xml:space="preserve">Pellet (g)</t>
  </si>
  <si>
    <t xml:space="preserve">Milk (ml)</t>
  </si>
  <si>
    <t xml:space="preserve">Sugar (g)</t>
  </si>
  <si>
    <t xml:space="preserve">Total volume / weight</t>
  </si>
  <si>
    <t xml:space="preserve">B. pH</t>
  </si>
  <si>
    <t xml:space="preserve">pH before addition</t>
  </si>
  <si>
    <t xml:space="preserve">pH after addition</t>
  </si>
  <si>
    <t xml:space="preserve">C. SAMPLES PULLED (Y/N - results on the referenced tab)</t>
  </si>
  <si>
    <t xml:space="preserve">Anthrone before (11_ASSAY RESULTS)</t>
  </si>
  <si>
    <t xml:space="preserve">Anthrone after (11_ASSAY RESULTS)</t>
  </si>
  <si>
    <t xml:space="preserve">Plating (15_PLATING)</t>
  </si>
  <si>
    <t xml:space="preserve">D. SENSORY ANALYSIS</t>
  </si>
  <si>
    <t xml:space="preserve">Colour</t>
  </si>
  <si>
    <t xml:space="preserve">Golden Brown</t>
  </si>
  <si>
    <t xml:space="preserve">Appearance</t>
  </si>
  <si>
    <t xml:space="preserve">Clean and transparent</t>
  </si>
  <si>
    <t xml:space="preserve">Odour</t>
  </si>
  <si>
    <t xml:space="preserve">Tangy and clean</t>
  </si>
  <si>
    <t xml:space="preserve">Taste</t>
  </si>
  <si>
    <t xml:space="preserve">Tangy with a sour aftertaste</t>
  </si>
  <si>
    <t xml:space="preserve">Texture</t>
  </si>
  <si>
    <t xml:space="preserve">Clear liquid</t>
  </si>
  <si>
    <t xml:space="preserve">Mouthfeel</t>
  </si>
  <si>
    <t xml:space="preserve">Good</t>
  </si>
  <si>
    <t xml:space="preserve">Overall acceptability</t>
  </si>
  <si>
    <t xml:space="preserve">E. SIGN-OFF</t>
  </si>
  <si>
    <t xml:space="preserve">Prepared by / time</t>
  </si>
  <si>
    <t xml:space="preserve">SK / 28-05-2026</t>
  </si>
  <si>
    <t xml:space="preserve">Analysed by / time</t>
  </si>
  <si>
    <t xml:space="preserve">OxyOS Product Record ID</t>
  </si>
  <si>
    <t xml:space="preserve">15  PLATING</t>
  </si>
  <si>
    <t xml:space="preserve">One row per READ. A plate read more than once takes one row per read - never overwrite a previous read.</t>
  </si>
  <si>
    <t xml:space="preserve">Plate ID (Batch/Exp + log hr)</t>
  </si>
  <si>
    <t xml:space="preserve">Medium</t>
  </si>
  <si>
    <t xml:space="preserve">Inc. Temp (C)</t>
  </si>
  <si>
    <t xml:space="preserve">Plated Date-Time</t>
  </si>
  <si>
    <t xml:space="preserve">Expected Colony Description</t>
  </si>
  <si>
    <t xml:space="preserve">Read Date-Time</t>
  </si>
  <si>
    <t xml:space="preserve">Inc. Elapsed</t>
  </si>
  <si>
    <t xml:space="preserve">Colonies Observed (morphology)</t>
  </si>
  <si>
    <t xml:space="preserve">Matches Exp.</t>
  </si>
  <si>
    <t xml:space="preserve">Unexpected Growth - describe</t>
  </si>
  <si>
    <t xml:space="preserve">Result</t>
  </si>
  <si>
    <t xml:space="preserve">Disposal Date</t>
  </si>
  <si>
    <t xml:space="preserve">Disposed By</t>
  </si>
  <si>
    <t xml:space="preserve">PL-01</t>
  </si>
  <si>
    <t xml:space="preserve">MRS</t>
  </si>
  <si>
    <t xml:space="preserve">No growth expected (batch media sterility)</t>
  </si>
  <si>
    <t xml:space="preserve">Before inoculation</t>
  </si>
  <si>
    <t xml:space="preserve">No growth</t>
  </si>
  <si>
    <t xml:space="preserve">None</t>
  </si>
  <si>
    <t xml:space="preserve">Pass</t>
  </si>
  <si>
    <t xml:space="preserve">16  CFU ENUMERATION</t>
  </si>
  <si>
    <t xml:space="preserve">One row per sample per dilution. Record every replicate as read, including zero. For too-numerous-to-count, leave counts blank and write TNTC in Remarks.</t>
  </si>
  <si>
    <t xml:space="preserve">Sample ID (Batch/Exp + log hr)</t>
  </si>
  <si>
    <t xml:space="preserve">Method</t>
  </si>
  <si>
    <t xml:space="preserve">Diluent</t>
  </si>
  <si>
    <t xml:space="preserve">Inc. Temp / Duration</t>
  </si>
  <si>
    <t xml:space="preserve">Dilution (10^-n)</t>
  </si>
  <si>
    <t xml:space="preserve">Vol Plated (ml)</t>
  </si>
  <si>
    <t xml:space="preserve">Count R1</t>
  </si>
  <si>
    <t xml:space="preserve">Count R2</t>
  </si>
  <si>
    <t xml:space="preserve">Count R3</t>
  </si>
  <si>
    <t xml:space="preserve">Mean Count</t>
  </si>
  <si>
    <t xml:space="preserve">CFU per ml</t>
  </si>
  <si>
    <t xml:space="preserve">Log10 CFU/ml</t>
  </si>
  <si>
    <t xml:space="preserve">17  MICROSCOPY</t>
  </si>
  <si>
    <t xml:space="preserve">One row per slide.</t>
  </si>
  <si>
    <t xml:space="preserve">Slide ID (Batch/Exp + log hr, or Isolate ID)</t>
  </si>
  <si>
    <t xml:space="preserve">Stain</t>
  </si>
  <si>
    <t xml:space="preserve">Magnification</t>
  </si>
  <si>
    <t xml:space="preserve">Observation</t>
  </si>
  <si>
    <t xml:space="preserve">Microscope Log Ref</t>
  </si>
  <si>
    <t xml:space="preserve">Observed By</t>
  </si>
  <si>
    <t xml:space="preserve">SL-01</t>
  </si>
  <si>
    <t xml:space="preserve">21-07-2026</t>
  </si>
  <si>
    <t xml:space="preserve">Gram</t>
  </si>
  <si>
    <t xml:space="preserve">100 X</t>
  </si>
  <si>
    <t xml:space="preserve">No bacterial cells observed</t>
  </si>
  <si>
    <t xml:space="preserve">SL-02</t>
  </si>
  <si>
    <t xml:space="preserve">22-07-2026</t>
  </si>
  <si>
    <t xml:space="preserve">SL-03  </t>
  </si>
  <si>
    <t xml:space="preserve">Gram-positive rods, small-sized, singly arranged</t>
  </si>
  <si>
    <t xml:space="preserve">SL-04</t>
  </si>
  <si>
    <t xml:space="preserve">23-07-2026</t>
  </si>
  <si>
    <t xml:space="preserve">Gram-positive rods, medium-sized, singly arranged</t>
  </si>
  <si>
    <t xml:space="preserve">SL-05</t>
  </si>
  <si>
    <t xml:space="preserve">SL-06</t>
  </si>
  <si>
    <t xml:space="preserve">24-07-2026</t>
  </si>
  <si>
    <t xml:space="preserve">18  STABILITY</t>
  </si>
  <si>
    <t xml:space="preserve">Sample ID</t>
  </si>
  <si>
    <t xml:space="preserve">Product Form</t>
  </si>
  <si>
    <t xml:space="preserve">Storage Temp / Condition</t>
  </si>
  <si>
    <t xml:space="preserve">Packaging / Container</t>
  </si>
  <si>
    <t xml:space="preserve">Study Start (Day 0)</t>
  </si>
  <si>
    <t xml:space="preserve">Day</t>
  </si>
  <si>
    <t xml:space="preserve">CFU Ref</t>
  </si>
  <si>
    <t xml:space="preserve">19  ISOLATE CHARACTERISATION</t>
  </si>
  <si>
    <t xml:space="preserve">One row per isolate. Colony morphology stays on 15_PLATING; staining stays on 17_MICROSCOPY against the same Isolate ID.</t>
  </si>
  <si>
    <t xml:space="preserve">Isolate ID</t>
  </si>
  <si>
    <t xml:space="preserve">Source Sample</t>
  </si>
  <si>
    <t xml:space="preserve">Plate Ref</t>
  </si>
  <si>
    <t xml:space="preserve">Catalase</t>
  </si>
  <si>
    <t xml:space="preserve">Motility</t>
  </si>
  <si>
    <t xml:space="preserve">Growth 50C</t>
  </si>
  <si>
    <t xml:space="preserve">Other Test - name and result</t>
  </si>
  <si>
    <t xml:space="preserve">Tentative ID</t>
  </si>
  <si>
    <t xml:space="preserve">Next Step / Sub-culture Plan</t>
  </si>
  <si>
    <t xml:space="preserve">20  DEVIATIONS &amp; GENERAL OBSERVATIONS</t>
  </si>
  <si>
    <t xml:space="preserve">Anything not covered by a numbered tab, plus every deviation from protocol for this batch.</t>
  </si>
  <si>
    <t xml:space="preserve">Tab / Step</t>
  </si>
  <si>
    <t xml:space="preserve">Observation / Action Taken</t>
  </si>
  <si>
    <t xml:space="preserve">Data / Reading</t>
  </si>
  <si>
    <t xml:space="preserve">Deviation from Protocol</t>
  </si>
  <si>
    <t xml:space="preserve">Reason / Impact Assessment</t>
  </si>
  <si>
    <t xml:space="preserve">Approved By / Date</t>
  </si>
  <si>
    <t xml:space="preserve">Whole record</t>
  </si>
  <si>
    <t xml:space="preserve">—</t>
  </si>
  <si>
    <t xml:space="preserve">Batch migrated from the legacy 8-sheet template into the current 23-tab format. Legacy ID OBI-26-FER-003 recorded on 00_README.</t>
  </si>
  <si>
    <t xml:space="preserve">Y - format migration</t>
  </si>
  <si>
    <t xml:space="preserve">No impact on data. Legacy workbook retained as the source record.</t>
  </si>
  <si>
    <t xml:space="preserve">02 / 03 / 06 / 07</t>
  </si>
  <si>
    <t xml:space="preserve">No seed propagation stage exists. Inoculum was added directly to the batch flasks. Seed tabs marked N/A with reason.</t>
  </si>
  <si>
    <t xml:space="preserve">Legacy inoculum sheet Section E and F were blank throughout.</t>
  </si>
  <si>
    <t xml:space="preserve">06 / 07</t>
  </si>
  <si>
    <t xml:space="preserve">Inoculum OD recorded as N/A. OD is not a valid cell-density measure in a curd or thawed-vial matrix at 600 nm, and no reading was taken.</t>
  </si>
  <si>
    <t xml:space="preserve">Correct measure is CFU/ml on MRS agar per OB-EXP-001. Not enumerated for this batch.</t>
  </si>
  <si>
    <t xml:space="preserve">09_BATCH GROWTH LOG</t>
  </si>
  <si>
    <t xml:space="preserve">Batch OD recorded as N/A at every timepoint, as in the legacy record. No spectrophotometer readings and no dilution factors exist.</t>
  </si>
  <si>
    <t xml:space="preserve">FER-004 onward record OD with a stated dilution factor. Without one a grain-slurry OD is uninterpretable, so none reconstructed.</t>
  </si>
  <si>
    <t xml:space="preserve">13_DOWNSTREAM</t>
  </si>
  <si>
    <t xml:space="preserve">Wet pellet derived by difference: 185 ml broth less 110 ml supernatant = 75 g. Dried to 4 g, so pellet dry matter 5.3%.</t>
  </si>
  <si>
    <t xml:space="preserve">75 g wet / 4 g dry</t>
  </si>
  <si>
    <t xml:space="preserve">Y - derived, not weighed</t>
  </si>
  <si>
    <t xml:space="preserve">Legacy record left wet pellet blank. Derived, not a balance reading. Weigh directly on future batches.</t>
  </si>
  <si>
    <t xml:space="preserve">Total Output of 114 g per flask is NOT a product yield. It is 110 ml of liquid added to 4 g of solid on the template 1 g per ml convention.</t>
  </si>
  <si>
    <t xml:space="preserve">114 g</t>
  </si>
  <si>
    <t xml:space="preserve">Y - template convention defect</t>
  </si>
  <si>
    <t xml:space="preserve">Meaningful yield is the dried pellet: 4 g. Supernatant dissolved solids not measured. Affects FER-004 to -006 identically; revise at template level.</t>
  </si>
  <si>
    <t xml:space="preserve">All tabs</t>
  </si>
  <si>
    <t xml:space="preserve">Equipment references corrected to ACE Biotechnology Department equipment IDs. The legacy record carried ACE-BT/INSTR/001, which is the instruction sheet document reference, not an equipment ID.</t>
  </si>
  <si>
    <t xml:space="preserve">See REF_EQUIPMENT</t>
  </si>
  <si>
    <t xml:space="preserve">Y - transcription error in legacy record</t>
  </si>
  <si>
    <t xml:space="preserve">Correct IDs: CO2 incubator ACE-BT/CO2INC/001, centrifuge ACE-BT/CENT/001, hot air oven ACE-BT/HAO/001, refrigerator ACE-BT/REF/001.</t>
  </si>
  <si>
    <t xml:space="preserve">01 BATCH INFO</t>
  </si>
  <si>
    <t xml:space="preserve">OB-EXP Ref on the legacy front sheet read FER-001. Corrected to FER-003.</t>
  </si>
  <si>
    <t xml:space="preserve">Copy-paste carry-over from the FER-001 workbook.</t>
  </si>
  <si>
    <t xml:space="preserve">10 / 11 / 16 / 17 / 18 / 19</t>
  </si>
  <si>
    <t xml:space="preserve">No standard curve, assay, CFU, microscopy, stability or isolate records exist for this batch. Tabs left blank rather than reconstructed.</t>
  </si>
  <si>
    <t xml:space="preserve">ANALYSIS will show pH only.</t>
  </si>
  <si>
    <t xml:space="preserve">03_SEED INOCULATION</t>
  </si>
  <si>
    <t xml:space="preserve">Inoculum source recorded as CRYO VIAL with culture ID RCB-001, but the cryovial ID, thaw method, thaw duration and post-thaw visual check were all left N/A in the legacy sheet.</t>
  </si>
  <si>
    <t xml:space="preserve">Y - unrecoverable gap</t>
  </si>
  <si>
    <t xml:space="preserve">A vial ID is a physical label and cannot be reconstructed. Retrieve from the culture bank record for RCB-001, or this batch has no traceable link to its source stock.</t>
  </si>
  <si>
    <t xml:space="preserve">Pending</t>
  </si>
  <si>
    <t xml:space="preserve">08_BATCH INOCULATION</t>
  </si>
  <si>
    <t xml:space="preserve">Inoculum figures conflict. The inoculum sheet records 5 ml dispensed across F1 and F2. The F1 growth sheet records 0.5% v/v (1 ml in 200 ml) and the F2 growth sheet records 1.0, which reads as 100% and cannot be correct.</t>
  </si>
  <si>
    <t xml:space="preserve">5 ml vs 0.5% vs 1.0</t>
  </si>
  <si>
    <t xml:space="preserve">Y - unresolved conflict</t>
  </si>
  <si>
    <t xml:space="preserve">If F1 received 1 ml and F2 2 ml the total is 3 ml, not 5 ml. This is an experimental variable, so no per-flask percentage has been asserted. Resolve before either flask is used in a comparison.</t>
  </si>
  <si>
    <t xml:space="preserve">09 / 12</t>
  </si>
  <si>
    <t xml:space="preserve">Harvest final pH appears transposed between flasks. F1 growth log ends at 5.09 but the F1 harvest sheet records 5.12; F2 growth log ends at 5.12 but the F2 harvest sheet records 5.11.</t>
  </si>
  <si>
    <t xml:space="preserve">F1 5.09/5.12, F2 5.12/5.11</t>
  </si>
  <si>
    <t xml:space="preserve">Y - conflict in legacy record</t>
  </si>
  <si>
    <t xml:space="preserve">Both sets retained as recorded on their own tabs. Verify against the ACE-BT/PHM/001 log.</t>
  </si>
  <si>
    <t xml:space="preserve">Legacy record held 3 reads across 48 h (hr 0, 24, 48). Four timepoints added to reach at least three reads per fermentation day: hr 6/12/30/36, reconstructed and flagged per row.</t>
  </si>
  <si>
    <t xml:space="preserve">7 reads total</t>
  </si>
  <si>
    <t xml:space="preserve">Y - retrospective entry</t>
  </si>
  <si>
    <t xml:space="preserve">Reconstructed pH is not contemporaneous and must not be cited as primary evidence.</t>
  </si>
  <si>
    <t xml:space="preserve">04_BATCH MEDIA PREP</t>
  </si>
  <si>
    <t xml:space="preserve">Formulation is ragi 10 g, KK 4 g, urad dal 6 g = 50:20:30, the current substrate ratio. 400 ml over 2 flasks = 200 ml and 10 g substrate per flask. Volumes reconcile.</t>
  </si>
  <si>
    <t xml:space="preserve">50:20:30</t>
  </si>
  <si>
    <t xml:space="preserve">First of the three legacy batches to use the current ratio, so this is the only one yield-comparable with FER-004 onward.</t>
  </si>
  <si>
    <t xml:space="preserve">12_HARVEST</t>
  </si>
  <si>
    <t xml:space="preserve">Harvest recorded 28-05-2026 but storage start recorded as 30-05-2026, a two-day gap with no record of where the broth was held.</t>
  </si>
  <si>
    <t xml:space="preserve">28-05 to 30-05</t>
  </si>
  <si>
    <t xml:space="preserve">Y - gap in custody</t>
  </si>
  <si>
    <t xml:space="preserve">Either the storage date is mis-transcribed or the broth stood unrefrigerated for two days, which would affect the product prep pH and sensory results.</t>
  </si>
  <si>
    <t xml:space="preserve">Volume balance</t>
  </si>
  <si>
    <t xml:space="preserve">Per flask: 200 ml media + inoculum, less 7 ml sampling, against 185 ml harvested. Loss approximately 9 ml (4%), consistent with FER-001.</t>
  </si>
  <si>
    <t xml:space="preserve">201 -&gt; 185 ml</t>
  </si>
  <si>
    <t xml:space="preserve">Centrifugation of 185 ml took 4 h (13:00 to 17:00), which is long for this volume. Check the ACE-BT/CENT/001 log for run count.</t>
  </si>
  <si>
    <t xml:space="preserve">ANALYSIS  -  DERIVED, DO NOT TYPE HERE</t>
  </si>
  <si>
    <t xml:space="preserve">Total Carb (ug/ml)</t>
  </si>
  <si>
    <t xml:space="preserve">Reducing Sugar (ug/ml)</t>
  </si>
  <si>
    <t xml:space="preserve">Sample Vol (ml)</t>
  </si>
  <si>
    <t xml:space="preserve">NaOH N</t>
  </si>
  <si>
    <t xml:space="preserve">Titre 2</t>
  </si>
  <si>
    <t xml:space="preserve">Titre 3</t>
  </si>
  <si>
    <t xml:space="preserve">Concordant Mean (ml)</t>
  </si>
  <si>
    <t xml:space="preserve">Lactic Acid (% w/v)</t>
  </si>
  <si>
    <t xml:space="preserve">REF  EQUIPMENT REGISTER</t>
  </si>
  <si>
    <t xml:space="preserve">Equipment ID</t>
  </si>
  <si>
    <t xml:space="preserve">Equipment Name</t>
  </si>
  <si>
    <t xml:space="preserve">Make / Model</t>
  </si>
  <si>
    <t xml:space="preserve">Location</t>
  </si>
  <si>
    <t xml:space="preserve">Log Book Reference</t>
  </si>
  <si>
    <t xml:space="preserve">ACE-BT/AUTO/001</t>
  </si>
  <si>
    <t xml:space="preserve">Autoclave</t>
  </si>
  <si>
    <t xml:space="preserve">Equitron / 7431ETC</t>
  </si>
  <si>
    <t xml:space="preserve">Dept. of Biotechnology, ACE</t>
  </si>
  <si>
    <t xml:space="preserve">ACE-BT/FRM/AUTO/001</t>
  </si>
  <si>
    <t xml:space="preserve">ACE-BT/SOP/001. Not used for this batch</t>
  </si>
  <si>
    <t xml:space="preserve">ACE-BT/LAF/001</t>
  </si>
  <si>
    <t xml:space="preserve">Laminar Air Flow</t>
  </si>
  <si>
    <t xml:space="preserve">ACE-BT/FRM/LAF/001</t>
  </si>
  <si>
    <t xml:space="preserve">ACE-BT/SOP/002. Inoculation and plating</t>
  </si>
  <si>
    <t xml:space="preserve">ACE-BT/BSC/001</t>
  </si>
  <si>
    <t xml:space="preserve">Biosafety Cabinet</t>
  </si>
  <si>
    <t xml:space="preserve">ACE-BT/FRM/BSC/001</t>
  </si>
  <si>
    <t xml:space="preserve">ACE-BT/SOP/003. Not used for this batch</t>
  </si>
  <si>
    <t xml:space="preserve">CO2 Incubator</t>
  </si>
  <si>
    <t xml:space="preserve">ACE-BT/FRM/CO2INC/001</t>
  </si>
  <si>
    <t xml:space="preserve">ACE-BT/SOP/004. Batch incubation 37 C, 5% CO2</t>
  </si>
  <si>
    <t xml:space="preserve">ACE-BT/BACINC/001</t>
  </si>
  <si>
    <t xml:space="preserve">Bacteriological Incubator</t>
  </si>
  <si>
    <t xml:space="preserve">Labtop / LI-45</t>
  </si>
  <si>
    <t xml:space="preserve">ACE-BT/FRM/BACINC/001</t>
  </si>
  <si>
    <t xml:space="preserve">ACE-BT/SOP/005. Not used for this batch</t>
  </si>
  <si>
    <t xml:space="preserve">ACE-BT/WB600/001</t>
  </si>
  <si>
    <t xml:space="preserve">Weighing Balance (Max 600 g)</t>
  </si>
  <si>
    <t xml:space="preserve">ACE-BT/FRM/WB600/001</t>
  </si>
  <si>
    <t xml:space="preserve">ACE-BT/SOP/006. Not used for this batch</t>
  </si>
  <si>
    <t xml:space="preserve">ACE-BT/WB300/001</t>
  </si>
  <si>
    <t xml:space="preserve">Weighing Balance (Max 300 g)</t>
  </si>
  <si>
    <t xml:space="preserve">ACE-BT/FRM/WB300/001</t>
  </si>
  <si>
    <t xml:space="preserve">ACE-BT/SOP/007. Not used for this batch</t>
  </si>
  <si>
    <t xml:space="preserve">ACE-BT/PHM/001</t>
  </si>
  <si>
    <t xml:space="preserve">pH Meter</t>
  </si>
  <si>
    <t xml:space="preserve">Eutech / pH 700</t>
  </si>
  <si>
    <t xml:space="preserve">ACE-BT/FRM/PHM/001</t>
  </si>
  <si>
    <t xml:space="preserve">ACE-BT/SOP/008. All pH readings</t>
  </si>
  <si>
    <t xml:space="preserve">ACE-BT/MICRO/001</t>
  </si>
  <si>
    <t xml:space="preserve">Microscope</t>
  </si>
  <si>
    <t xml:space="preserve">Olympus / CX23</t>
  </si>
  <si>
    <t xml:space="preserve">ACE-BT/FRM/MICRO/001</t>
  </si>
  <si>
    <t xml:space="preserve">ACE-BT/SOP/009. Not used for this batch</t>
  </si>
  <si>
    <t xml:space="preserve">ACE-BT/UVVIS/001</t>
  </si>
  <si>
    <t xml:space="preserve">UV-Vis Spectrophotometer</t>
  </si>
  <si>
    <t xml:space="preserve">Shimadzu / UV-1900i</t>
  </si>
  <si>
    <t xml:space="preserve">ACE-BT/FRM/UVVIS/001</t>
  </si>
  <si>
    <t xml:space="preserve">ACE-BT/SOP/010. Not used for this batch</t>
  </si>
  <si>
    <t xml:space="preserve">Centrifuge</t>
  </si>
  <si>
    <t xml:space="preserve">Remi / C-24 BL</t>
  </si>
  <si>
    <t xml:space="preserve">ACE-BT/FRM/CENT/001</t>
  </si>
  <si>
    <t xml:space="preserve">ACE-BT/SOP/011. Broth separation</t>
  </si>
  <si>
    <t xml:space="preserve">ACE-BT/CCENT/001</t>
  </si>
  <si>
    <t xml:space="preserve">Cooling Centrifuge</t>
  </si>
  <si>
    <t xml:space="preserve">ACE-BT/FRM/CCENT/001</t>
  </si>
  <si>
    <t xml:space="preserve">ACE-BT/SOP/012. Not used for this batch</t>
  </si>
  <si>
    <t xml:space="preserve">ACE-BT/RSI/001</t>
  </si>
  <si>
    <t xml:space="preserve">Rotary Shaker Incubator</t>
  </si>
  <si>
    <t xml:space="preserve">Remi / CIS-24 Plus</t>
  </si>
  <si>
    <t xml:space="preserve">ACE-BT/FRM/RSI/001</t>
  </si>
  <si>
    <t xml:space="preserve">ACE-BT/SOP/013. Not used for this batch</t>
  </si>
  <si>
    <t xml:space="preserve">Hot Air Oven</t>
  </si>
  <si>
    <t xml:space="preserve">Labtop / LDO-60</t>
  </si>
  <si>
    <t xml:space="preserve">ACE-BT/FRM/HAO/001</t>
  </si>
  <si>
    <t xml:space="preserve">ACE-BT/SOP/014. Pellet drying</t>
  </si>
  <si>
    <t xml:space="preserve">ACE-BT/DF1/001</t>
  </si>
  <si>
    <t xml:space="preserve">Deep Freezer 1</t>
  </si>
  <si>
    <t xml:space="preserve">Blue Star / CHF-200</t>
  </si>
  <si>
    <t xml:space="preserve">ACE-BT/FRM/DF1/001</t>
  </si>
  <si>
    <t xml:space="preserve">ACE-BT/SOP/015. Not used for this batch</t>
  </si>
  <si>
    <t xml:space="preserve">ACE-BT/DF2/001</t>
  </si>
  <si>
    <t xml:space="preserve">Deep Freezer 2</t>
  </si>
  <si>
    <t xml:space="preserve">ACE-BT/FRM/DF2/001</t>
  </si>
  <si>
    <t xml:space="preserve">ACE-BT/REF/001</t>
  </si>
  <si>
    <t xml:space="preserve">Refrigerator</t>
  </si>
  <si>
    <t xml:space="preserve">ACE-BT/FRM/REF/001</t>
  </si>
  <si>
    <t xml:space="preserve">ACE-BT/SOP/016. Broth and output storage</t>
  </si>
</sst>
</file>

<file path=xl/styles.xml><?xml version="1.0" encoding="utf-8"?>
<styleSheet xmlns="http://schemas.openxmlformats.org/spreadsheetml/2006/main">
  <numFmts count="12">
    <numFmt numFmtId="164" formatCode="General"/>
    <numFmt numFmtId="165" formatCode="h:mm\ AM/PM"/>
    <numFmt numFmtId="166" formatCode="0.00"/>
    <numFmt numFmtId="167" formatCode="h:mm"/>
    <numFmt numFmtId="168" formatCode="0%"/>
    <numFmt numFmtId="169" formatCode="0.00000"/>
    <numFmt numFmtId="170" formatCode="0.0000"/>
    <numFmt numFmtId="171" formatCode="m/d/yyyy"/>
    <numFmt numFmtId="172" formatCode="m/d/yyyy\ h:mm"/>
    <numFmt numFmtId="173" formatCode="0.0"/>
    <numFmt numFmtId="174" formatCode="0.00E+00"/>
    <numFmt numFmtId="175" formatCode="0.000"/>
  </numFmts>
  <fonts count="13">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808080"/>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i val="true"/>
      <sz val="10"/>
      <name val="Arial"/>
      <family val="0"/>
      <charset val="1"/>
    </font>
    <font>
      <sz val="10"/>
      <color rgb="FF000000"/>
      <name val="Arial"/>
      <family val="0"/>
      <charset val="1"/>
    </font>
    <font>
      <sz val="11"/>
      <color rgb="FF000000"/>
      <name val="Calibri"/>
      <family val="2"/>
      <charset val="1"/>
    </font>
    <font>
      <sz val="10"/>
      <color theme="1"/>
      <name val="Arial"/>
      <family val="0"/>
      <charset val="1"/>
    </font>
  </fonts>
  <fills count="6">
    <fill>
      <patternFill patternType="none"/>
    </fill>
    <fill>
      <patternFill patternType="gray125"/>
    </fill>
    <fill>
      <patternFill patternType="solid">
        <fgColor rgb="FFDCE6F1"/>
        <bgColor rgb="FFF2F2F2"/>
      </patternFill>
    </fill>
    <fill>
      <patternFill patternType="solid">
        <fgColor rgb="FF1F3864"/>
        <bgColor rgb="FF333333"/>
      </patternFill>
    </fill>
    <fill>
      <patternFill patternType="solid">
        <fgColor rgb="FFF2F2F2"/>
        <bgColor rgb="FFFFFFFF"/>
      </patternFill>
    </fill>
    <fill>
      <patternFill patternType="solid">
        <fgColor theme="0"/>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6" fontId="9" fillId="4"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9" fontId="9" fillId="4" borderId="1" xfId="0" applyFont="true" applyBorder="true" applyAlignment="true" applyProtection="false">
      <alignment horizontal="general" vertical="bottom" textRotation="0" wrapText="false" indent="0" shrinkToFit="false"/>
      <protection locked="true" hidden="false"/>
    </xf>
    <xf numFmtId="170" fontId="9" fillId="4"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3" fontId="9" fillId="4" borderId="1" xfId="0" applyFont="true" applyBorder="true" applyAlignment="true" applyProtection="false">
      <alignment horizontal="general" vertical="center" textRotation="0" wrapText="false" indent="0" shrinkToFit="false"/>
      <protection locked="true" hidden="false"/>
    </xf>
    <xf numFmtId="174" fontId="9" fillId="4" borderId="1" xfId="0" applyFont="true" applyBorder="true" applyAlignment="true" applyProtection="false">
      <alignment horizontal="general" vertical="center" textRotation="0" wrapText="false" indent="0" shrinkToFit="false"/>
      <protection locked="true" hidden="false"/>
    </xf>
    <xf numFmtId="175" fontId="9" fillId="4"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5703125" defaultRowHeight="15" zeroHeight="false" outlineLevelRow="0" outlineLevelCol="0"/>
  <cols>
    <col collapsed="false" customWidth="true" hidden="false" outlineLevel="0" max="1" min="1" style="1" width="41.57"/>
    <col collapsed="false" customWidth="true" hidden="false" outlineLevel="0" max="2" min="2" style="1" width="104"/>
  </cols>
  <sheetData>
    <row r="1" customFormat="false" ht="19.5" hidden="false" customHeight="true" outlineLevel="0" collapsed="false">
      <c r="A1" s="2" t="s">
        <v>0</v>
      </c>
    </row>
    <row r="2" customFormat="false" ht="13.5" hidden="false" customHeight="true" outlineLevel="0" collapsed="false">
      <c r="A2" s="3"/>
    </row>
    <row r="4" customFormat="false" ht="16.5" hidden="false" customHeight="true" outlineLevel="0" collapsed="false">
      <c r="A4" s="4" t="s">
        <v>1</v>
      </c>
      <c r="B4" s="5" t="s">
        <v>2</v>
      </c>
    </row>
    <row r="5" customFormat="false" ht="16.5" hidden="false" customHeight="true" outlineLevel="0" collapsed="false">
      <c r="A5" s="4" t="s">
        <v>3</v>
      </c>
      <c r="B5" s="5" t="s">
        <v>4</v>
      </c>
    </row>
    <row r="6" customFormat="false" ht="16.5" hidden="false" customHeight="true" outlineLevel="0" collapsed="false">
      <c r="A6" s="4" t="s">
        <v>5</v>
      </c>
      <c r="B6" s="5" t="s">
        <v>6</v>
      </c>
    </row>
    <row r="7" customFormat="false" ht="16.5" hidden="false" customHeight="true" outlineLevel="0" collapsed="false">
      <c r="A7" s="4" t="s">
        <v>7</v>
      </c>
      <c r="B7" s="5" t="s">
        <v>8</v>
      </c>
    </row>
    <row r="8" customFormat="false" ht="15" hidden="false" customHeight="true" outlineLevel="0" collapsed="false">
      <c r="A8" s="6"/>
      <c r="B8" s="7"/>
    </row>
    <row r="9" customFormat="false" ht="18" hidden="false" customHeight="true" outlineLevel="0" collapsed="false">
      <c r="A9" s="8" t="s">
        <v>9</v>
      </c>
      <c r="B9" s="9"/>
    </row>
    <row r="10" customFormat="false" ht="30" hidden="false" customHeight="true" outlineLevel="0" collapsed="false">
      <c r="A10" s="6" t="s">
        <v>10</v>
      </c>
      <c r="B10" s="7" t="s">
        <v>11</v>
      </c>
    </row>
    <row r="11" customFormat="false" ht="30" hidden="false" customHeight="true" outlineLevel="0" collapsed="false">
      <c r="A11" s="6" t="s">
        <v>12</v>
      </c>
      <c r="B11" s="7" t="s">
        <v>13</v>
      </c>
    </row>
    <row r="12" customFormat="false" ht="30" hidden="false" customHeight="true" outlineLevel="0" collapsed="false">
      <c r="A12" s="6" t="s">
        <v>14</v>
      </c>
      <c r="B12" s="7" t="s">
        <v>15</v>
      </c>
    </row>
    <row r="13" customFormat="false" ht="15" hidden="false" customHeight="true" outlineLevel="0" collapsed="false">
      <c r="A13" s="6"/>
      <c r="B13" s="7"/>
    </row>
    <row r="14" customFormat="false" ht="18" hidden="false" customHeight="true" outlineLevel="0" collapsed="false">
      <c r="A14" s="8" t="s">
        <v>16</v>
      </c>
      <c r="B14" s="9"/>
    </row>
    <row r="15" customFormat="false" ht="30" hidden="false" customHeight="true" outlineLevel="0" collapsed="false">
      <c r="A15" s="6" t="s">
        <v>17</v>
      </c>
      <c r="B15" s="7" t="s">
        <v>18</v>
      </c>
    </row>
    <row r="16" customFormat="false" ht="30" hidden="false" customHeight="true" outlineLevel="0" collapsed="false">
      <c r="A16" s="6" t="s">
        <v>19</v>
      </c>
      <c r="B16" s="7" t="s">
        <v>20</v>
      </c>
    </row>
    <row r="17" customFormat="false" ht="30" hidden="false" customHeight="true" outlineLevel="0" collapsed="false">
      <c r="A17" s="6" t="s">
        <v>21</v>
      </c>
      <c r="B17" s="7" t="s">
        <v>22</v>
      </c>
    </row>
    <row r="18" customFormat="false" ht="15" hidden="false" customHeight="true" outlineLevel="0" collapsed="false">
      <c r="A18" s="6"/>
      <c r="B18" s="7"/>
    </row>
    <row r="19" customFormat="false" ht="18" hidden="false" customHeight="true" outlineLevel="0" collapsed="false">
      <c r="A19" s="8" t="s">
        <v>23</v>
      </c>
      <c r="B19" s="9"/>
    </row>
    <row r="20" customFormat="false" ht="30" hidden="false" customHeight="true" outlineLevel="0" collapsed="false">
      <c r="A20" s="6" t="s">
        <v>24</v>
      </c>
      <c r="B20" s="7" t="s">
        <v>25</v>
      </c>
    </row>
    <row r="21" customFormat="false" ht="30" hidden="false" customHeight="true" outlineLevel="0" collapsed="false">
      <c r="A21" s="6" t="s">
        <v>26</v>
      </c>
      <c r="B21" s="7" t="s">
        <v>27</v>
      </c>
    </row>
    <row r="22" customFormat="false" ht="15" hidden="false" customHeight="true" outlineLevel="0" collapsed="false">
      <c r="A22" s="6"/>
      <c r="B22" s="7"/>
    </row>
    <row r="23" customFormat="false" ht="18" hidden="false" customHeight="true" outlineLevel="0" collapsed="false">
      <c r="A23" s="8" t="s">
        <v>28</v>
      </c>
      <c r="B23" s="9"/>
    </row>
    <row r="24" customFormat="false" ht="30" hidden="false" customHeight="true" outlineLevel="0" collapsed="false">
      <c r="A24" s="6" t="s">
        <v>29</v>
      </c>
      <c r="B24" s="7" t="s">
        <v>30</v>
      </c>
    </row>
    <row r="25" customFormat="false" ht="30" hidden="false" customHeight="true" outlineLevel="0" collapsed="false">
      <c r="A25" s="6" t="s">
        <v>31</v>
      </c>
      <c r="B25" s="7" t="s">
        <v>32</v>
      </c>
    </row>
    <row r="26" customFormat="false" ht="15" hidden="false" customHeight="true" outlineLevel="0" collapsed="false">
      <c r="A26" s="6"/>
      <c r="B26" s="7"/>
    </row>
    <row r="27" customFormat="false" ht="18" hidden="false" customHeight="true" outlineLevel="0" collapsed="false">
      <c r="A27" s="8" t="s">
        <v>33</v>
      </c>
      <c r="B27" s="9"/>
    </row>
    <row r="28" customFormat="false" ht="30" hidden="false" customHeight="true" outlineLevel="0" collapsed="false">
      <c r="A28" s="6" t="s">
        <v>34</v>
      </c>
      <c r="B28" s="7" t="s">
        <v>35</v>
      </c>
    </row>
    <row r="29" customFormat="false" ht="30" hidden="false" customHeight="true" outlineLevel="0" collapsed="false">
      <c r="A29" s="6" t="s">
        <v>36</v>
      </c>
      <c r="B29" s="7" t="s">
        <v>37</v>
      </c>
    </row>
    <row r="30" customFormat="false" ht="3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6796875" defaultRowHeight="15" zeroHeight="false" outlineLevelRow="0" outlineLevelCol="0"/>
  <cols>
    <col collapsed="false" customWidth="true" hidden="false" outlineLevel="0" max="1" min="1" style="1" width="28.14"/>
    <col collapsed="false" customWidth="true" hidden="false" outlineLevel="0" max="2" min="2" style="1" width="23.42"/>
    <col collapsed="false" customWidth="true" hidden="false" outlineLevel="0" max="3" min="3" style="1" width="18.86"/>
    <col collapsed="false" customWidth="true" hidden="false" outlineLevel="0" max="4" min="4" style="1" width="18.71"/>
  </cols>
  <sheetData>
    <row r="1" customFormat="false" ht="17.25" hidden="false" customHeight="true" outlineLevel="0" collapsed="false">
      <c r="A1" s="10" t="s">
        <v>44</v>
      </c>
      <c r="B1" s="10"/>
      <c r="C1" s="10"/>
      <c r="D1" s="10"/>
    </row>
    <row r="2" customFormat="false" ht="15" hidden="false" customHeight="true" outlineLevel="0" collapsed="false">
      <c r="A2" s="3"/>
    </row>
    <row r="4" customFormat="false" ht="15" hidden="false" customHeight="true" outlineLevel="0" collapsed="false">
      <c r="A4" s="4" t="s">
        <v>45</v>
      </c>
      <c r="B4" s="11" t="s">
        <v>46</v>
      </c>
      <c r="C4" s="4" t="s">
        <v>3</v>
      </c>
      <c r="D4" s="12" t="s">
        <v>4</v>
      </c>
    </row>
    <row r="5" customFormat="false" ht="24.75" hidden="false" customHeight="true" outlineLevel="0" collapsed="false">
      <c r="A5" s="4" t="s">
        <v>47</v>
      </c>
      <c r="B5" s="12" t="s">
        <v>48</v>
      </c>
      <c r="C5" s="4" t="s">
        <v>49</v>
      </c>
      <c r="D5" s="13" t="s">
        <v>50</v>
      </c>
    </row>
    <row r="6" customFormat="false" ht="24.75" hidden="false" customHeight="true" outlineLevel="0" collapsed="false">
      <c r="A6" s="4" t="s">
        <v>51</v>
      </c>
      <c r="B6" s="12" t="s">
        <v>52</v>
      </c>
      <c r="C6" s="4" t="s">
        <v>53</v>
      </c>
      <c r="D6" s="14" t="n">
        <v>2</v>
      </c>
    </row>
    <row r="8" customFormat="false" ht="15" hidden="false" customHeight="true" outlineLevel="0" collapsed="false">
      <c r="A8" s="15" t="s">
        <v>54</v>
      </c>
      <c r="B8" s="16"/>
      <c r="C8" s="16"/>
      <c r="D8" s="16"/>
    </row>
    <row r="9" customFormat="false" ht="15" hidden="false" customHeight="true" outlineLevel="0" collapsed="false">
      <c r="A9" s="17"/>
    </row>
    <row r="10" customFormat="false" ht="15" hidden="false" customHeight="true" outlineLevel="0" collapsed="false">
      <c r="A10" s="18" t="s">
        <v>55</v>
      </c>
      <c r="B10" s="18" t="s">
        <v>56</v>
      </c>
      <c r="C10" s="18" t="s">
        <v>57</v>
      </c>
      <c r="D10" s="18" t="s">
        <v>58</v>
      </c>
    </row>
    <row r="11" customFormat="false" ht="15" hidden="false" customHeight="true" outlineLevel="0" collapsed="false">
      <c r="A11" s="19" t="n">
        <v>1</v>
      </c>
      <c r="B11" s="12" t="s">
        <v>59</v>
      </c>
      <c r="C11" s="12" t="s">
        <v>60</v>
      </c>
      <c r="D11" s="12" t="s">
        <v>61</v>
      </c>
    </row>
    <row r="12" customFormat="false" ht="15" hidden="false" customHeight="true" outlineLevel="0" collapsed="false">
      <c r="A12" s="1" t="n">
        <v>2</v>
      </c>
      <c r="B12" s="1" t="s">
        <v>62</v>
      </c>
      <c r="C12" s="1" t="s">
        <v>60</v>
      </c>
      <c r="D12" s="1" t="s">
        <v>61</v>
      </c>
    </row>
    <row r="13" customFormat="false" ht="15" hidden="false" customHeight="true" outlineLevel="0" collapsed="false">
      <c r="A13" s="15"/>
      <c r="B13" s="16"/>
      <c r="C13" s="16"/>
      <c r="D13" s="16"/>
    </row>
    <row r="14" customFormat="false" ht="24.75" hidden="false" customHeight="true" outlineLevel="0" collapsed="false">
      <c r="A14" s="4" t="s">
        <v>63</v>
      </c>
      <c r="B14" s="11" t="s">
        <v>64</v>
      </c>
      <c r="C14" s="4" t="s">
        <v>65</v>
      </c>
      <c r="D14" s="11" t="s">
        <v>6</v>
      </c>
    </row>
    <row r="15" customFormat="false" ht="24.75" hidden="false" customHeight="true" outlineLevel="0" collapsed="false">
      <c r="A15" s="4" t="s">
        <v>66</v>
      </c>
      <c r="B15" s="11" t="s">
        <v>8</v>
      </c>
      <c r="C15" s="4" t="s">
        <v>67</v>
      </c>
      <c r="D15" s="12" t="s">
        <v>68</v>
      </c>
    </row>
  </sheetData>
  <mergeCells count="1">
    <mergeCell ref="A1:D1"/>
  </mergeCells>
  <dataValidations count="1">
    <dataValidation allowBlank="true" errorStyle="stop" operator="between" showDropDown="false" showErrorMessage="false" showInputMessage="false" sqref="D15" type="list">
      <formula1>"Y,N"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9" activeCellId="0" sqref="E19"/>
    </sheetView>
  </sheetViews>
  <sheetFormatPr defaultColWidth="8.6796875" defaultRowHeight="15" zeroHeight="false" outlineLevelRow="0" outlineLevelCol="0"/>
  <cols>
    <col collapsed="false" customWidth="true" hidden="false" outlineLevel="0" max="2" min="1" style="1" width="18.57"/>
    <col collapsed="false" customWidth="true" hidden="false" outlineLevel="0" max="3" min="3" style="1" width="18.42"/>
    <col collapsed="false" customWidth="true" hidden="false" outlineLevel="0" max="4" min="4" style="1" width="18.71"/>
    <col collapsed="false" customWidth="true" hidden="false" outlineLevel="0" max="5" min="5" style="1" width="15"/>
    <col collapsed="false" customWidth="true" hidden="false" outlineLevel="0" max="6" min="6" style="1" width="13.86"/>
    <col collapsed="false" customWidth="true" hidden="false" outlineLevel="0" max="7" min="7" style="1" width="12.71"/>
    <col collapsed="false" customWidth="true" hidden="false" outlineLevel="0" max="8" min="8" style="1" width="16.71"/>
    <col collapsed="false" customWidth="true" hidden="false" outlineLevel="0" max="9" min="9" style="1" width="12.42"/>
    <col collapsed="false" customWidth="true" hidden="false" outlineLevel="0" max="10" min="10" style="1" width="14.42"/>
    <col collapsed="false" customWidth="true" hidden="false" outlineLevel="0" max="11" min="11" style="1" width="13.71"/>
  </cols>
  <sheetData>
    <row r="1" customFormat="false" ht="17.25" hidden="false" customHeight="true" outlineLevel="0" collapsed="false">
      <c r="A1" s="10" t="s">
        <v>69</v>
      </c>
      <c r="B1" s="10"/>
      <c r="C1" s="10"/>
      <c r="D1" s="10"/>
      <c r="E1" s="10"/>
      <c r="F1" s="10"/>
      <c r="G1" s="10"/>
      <c r="H1" s="10"/>
      <c r="I1" s="10"/>
      <c r="J1" s="10"/>
      <c r="K1" s="10"/>
    </row>
    <row r="3" customFormat="false" ht="24.75" hidden="false" customHeight="true" outlineLevel="0" collapsed="false">
      <c r="A3" s="18" t="s">
        <v>55</v>
      </c>
      <c r="B3" s="18" t="s">
        <v>70</v>
      </c>
      <c r="C3" s="18" t="s">
        <v>71</v>
      </c>
      <c r="D3" s="18" t="s">
        <v>72</v>
      </c>
      <c r="E3" s="18" t="s">
        <v>73</v>
      </c>
      <c r="F3" s="18" t="s">
        <v>74</v>
      </c>
      <c r="G3" s="18" t="s">
        <v>75</v>
      </c>
      <c r="H3" s="18" t="s">
        <v>76</v>
      </c>
      <c r="I3" s="18" t="s">
        <v>77</v>
      </c>
      <c r="J3" s="18" t="s">
        <v>78</v>
      </c>
      <c r="K3" s="18" t="s">
        <v>79</v>
      </c>
    </row>
    <row r="4" customFormat="false" ht="15" hidden="false" customHeight="true" outlineLevel="0" collapsed="false">
      <c r="A4" s="19" t="n">
        <v>1</v>
      </c>
      <c r="B4" s="14" t="s">
        <v>80</v>
      </c>
      <c r="C4" s="12" t="s">
        <v>81</v>
      </c>
      <c r="D4" s="12" t="s">
        <v>82</v>
      </c>
      <c r="E4" s="12" t="s">
        <v>80</v>
      </c>
      <c r="F4" s="12" t="s">
        <v>80</v>
      </c>
      <c r="G4" s="12" t="s">
        <v>80</v>
      </c>
      <c r="H4" s="12" t="s">
        <v>80</v>
      </c>
      <c r="I4" s="12" t="s">
        <v>80</v>
      </c>
      <c r="J4" s="12" t="s">
        <v>80</v>
      </c>
      <c r="K4" s="12" t="s">
        <v>80</v>
      </c>
    </row>
    <row r="6" customFormat="false" ht="15" hidden="false" customHeight="true" outlineLevel="0" collapsed="false">
      <c r="A6" s="15" t="s">
        <v>83</v>
      </c>
      <c r="B6" s="16"/>
      <c r="C6" s="16"/>
      <c r="D6" s="16"/>
    </row>
    <row r="7" customFormat="false" ht="24.75" hidden="false" customHeight="true" outlineLevel="0" collapsed="false">
      <c r="A7" s="4" t="s">
        <v>84</v>
      </c>
      <c r="B7" s="12" t="s">
        <v>80</v>
      </c>
      <c r="C7" s="4" t="s">
        <v>65</v>
      </c>
      <c r="D7" s="12" t="s">
        <v>6</v>
      </c>
    </row>
    <row r="8" customFormat="false" ht="24.75" hidden="false" customHeight="true" outlineLevel="0" collapsed="false">
      <c r="A8" s="4" t="s">
        <v>66</v>
      </c>
      <c r="B8" s="12" t="s">
        <v>8</v>
      </c>
      <c r="C8" s="4" t="s">
        <v>67</v>
      </c>
      <c r="D8" s="12" t="s">
        <v>68</v>
      </c>
    </row>
  </sheetData>
  <mergeCells count="1">
    <mergeCell ref="A1:K1"/>
  </mergeCells>
  <dataValidations count="2">
    <dataValidation allowBlank="true" errorStyle="stop" operator="between" showDropDown="false" showErrorMessage="false" showInputMessage="false" sqref="D8" type="list">
      <formula1>"Y,N"</formula1>
      <formula2>0</formula2>
    </dataValidation>
    <dataValidation allowBlank="true" errorStyle="stop" operator="between" showDropDown="false" showErrorMessage="false" showInputMessage="false" sqref="B4" type="list">
      <formula1>"1,2,3"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R5" activeCellId="0" sqref="R5"/>
    </sheetView>
  </sheetViews>
  <sheetFormatPr defaultColWidth="8.5703125" defaultRowHeight="15" zeroHeight="false" outlineLevelRow="0" outlineLevelCol="0"/>
  <cols>
    <col collapsed="false" customWidth="true" hidden="false" outlineLevel="0" max="1" min="1" style="1" width="30.43"/>
    <col collapsed="false" customWidth="true" hidden="false" outlineLevel="0" max="2" min="2" style="1" width="35.57"/>
    <col collapsed="false" customWidth="true" hidden="false" outlineLevel="0" max="3" min="3" style="1" width="36.42"/>
    <col collapsed="false" customWidth="true" hidden="false" outlineLevel="0" max="4" min="4" style="1" width="22"/>
    <col collapsed="false" customWidth="true" hidden="false" outlineLevel="0" max="5" min="5" style="1" width="16"/>
    <col collapsed="false" customWidth="true" hidden="false" outlineLevel="0" max="6" min="6" style="1" width="14"/>
    <col collapsed="false" customWidth="true" hidden="false" outlineLevel="0" max="7" min="7" style="1" width="20"/>
    <col collapsed="false" customWidth="true" hidden="false" outlineLevel="0" max="8" min="8" style="1" width="16"/>
    <col collapsed="false" customWidth="true" hidden="false" outlineLevel="0" max="10" min="9" style="1" width="18"/>
    <col collapsed="false" customWidth="true" hidden="false" outlineLevel="0" max="11" min="11" style="1" width="18.71"/>
    <col collapsed="false" customWidth="true" hidden="false" outlineLevel="0" max="12" min="12" style="1" width="12"/>
    <col collapsed="false" customWidth="true" hidden="false" outlineLevel="0" max="13" min="13" style="1" width="14"/>
    <col collapsed="false" customWidth="true" hidden="false" outlineLevel="0" max="14" min="14" style="1" width="18"/>
    <col collapsed="false" customWidth="true" hidden="false" outlineLevel="0" max="15" min="15" style="1" width="16"/>
  </cols>
  <sheetData>
    <row r="1" customFormat="false" ht="19.5" hidden="false" customHeight="true" outlineLevel="0" collapsed="false">
      <c r="A1" s="2" t="s">
        <v>85</v>
      </c>
    </row>
    <row r="3" customFormat="false" ht="30" hidden="false" customHeight="true" outlineLevel="0" collapsed="false">
      <c r="A3" s="18" t="s">
        <v>55</v>
      </c>
      <c r="B3" s="18" t="s">
        <v>70</v>
      </c>
      <c r="C3" s="18" t="s">
        <v>86</v>
      </c>
      <c r="D3" s="18" t="s">
        <v>87</v>
      </c>
      <c r="E3" s="18" t="s">
        <v>88</v>
      </c>
      <c r="F3" s="18" t="s">
        <v>89</v>
      </c>
      <c r="G3" s="18" t="s">
        <v>90</v>
      </c>
      <c r="H3" s="18" t="s">
        <v>91</v>
      </c>
      <c r="I3" s="18" t="s">
        <v>92</v>
      </c>
      <c r="J3" s="18" t="s">
        <v>93</v>
      </c>
      <c r="K3" s="18" t="s">
        <v>94</v>
      </c>
      <c r="L3" s="18" t="s">
        <v>95</v>
      </c>
      <c r="M3" s="18" t="s">
        <v>96</v>
      </c>
      <c r="N3" s="18" t="s">
        <v>97</v>
      </c>
      <c r="O3" s="18" t="s">
        <v>98</v>
      </c>
    </row>
    <row r="4" customFormat="false" ht="15.75" hidden="false" customHeight="true" outlineLevel="0" collapsed="false">
      <c r="A4" s="19" t="n">
        <v>1</v>
      </c>
      <c r="B4" s="12" t="s">
        <v>99</v>
      </c>
      <c r="C4" s="11" t="s">
        <v>100</v>
      </c>
      <c r="D4" s="11" t="s">
        <v>101</v>
      </c>
      <c r="E4" s="11" t="s">
        <v>102</v>
      </c>
      <c r="F4" s="11" t="s">
        <v>103</v>
      </c>
      <c r="G4" s="11" t="s">
        <v>104</v>
      </c>
      <c r="H4" s="12" t="s">
        <v>68</v>
      </c>
      <c r="I4" s="11" t="s">
        <v>105</v>
      </c>
      <c r="J4" s="11" t="s">
        <v>106</v>
      </c>
      <c r="K4" s="20" t="s">
        <v>107</v>
      </c>
      <c r="L4" s="11" t="s">
        <v>108</v>
      </c>
      <c r="M4" s="11" t="s">
        <v>109</v>
      </c>
      <c r="N4" s="12" t="s">
        <v>110</v>
      </c>
      <c r="O4" s="12" t="s">
        <v>111</v>
      </c>
    </row>
    <row r="6" customFormat="false" ht="18" hidden="false" customHeight="true" outlineLevel="0" collapsed="false">
      <c r="A6" s="15" t="s">
        <v>83</v>
      </c>
      <c r="B6" s="16"/>
      <c r="C6" s="16"/>
      <c r="D6" s="16"/>
    </row>
    <row r="7" customFormat="false" ht="31.5" hidden="false" customHeight="true" outlineLevel="0" collapsed="false">
      <c r="A7" s="4" t="s">
        <v>84</v>
      </c>
      <c r="B7" s="11" t="s">
        <v>80</v>
      </c>
      <c r="C7" s="4" t="s">
        <v>65</v>
      </c>
      <c r="D7" s="12" t="s">
        <v>6</v>
      </c>
    </row>
    <row r="8" customFormat="false" ht="45" hidden="false" customHeight="true" outlineLevel="0" collapsed="false">
      <c r="A8" s="4" t="s">
        <v>66</v>
      </c>
      <c r="B8" s="12" t="s">
        <v>8</v>
      </c>
      <c r="C8" s="4" t="s">
        <v>67</v>
      </c>
      <c r="D8" s="12" t="s">
        <v>68</v>
      </c>
    </row>
  </sheetData>
  <dataValidations count="2">
    <dataValidation allowBlank="true" errorStyle="stop" operator="between" showDropDown="false" showErrorMessage="false" showInputMessage="false" sqref="B4" type="list">
      <formula1>"1,2,3"</formula1>
      <formula2>0</formula2>
    </dataValidation>
    <dataValidation allowBlank="true" errorStyle="stop" operator="between" showDropDown="false" showErrorMessage="false" showInputMessage="false" sqref="H4 D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21" activeCellId="0" sqref="D21"/>
    </sheetView>
  </sheetViews>
  <sheetFormatPr defaultColWidth="8.5703125" defaultRowHeight="15" zeroHeight="false" outlineLevelRow="0" outlineLevelCol="0"/>
  <cols>
    <col collapsed="false" customWidth="true" hidden="false" outlineLevel="0" max="1" min="1" style="1" width="43"/>
    <col collapsed="false" customWidth="true" hidden="false" outlineLevel="0" max="2" min="2" style="1" width="24"/>
    <col collapsed="false" customWidth="true" hidden="false" outlineLevel="0" max="3" min="3" style="1" width="35.71"/>
    <col collapsed="false" customWidth="true" hidden="false" outlineLevel="0" max="4" min="4" style="1" width="26.42"/>
  </cols>
  <sheetData>
    <row r="1" customFormat="false" ht="19.5" hidden="false" customHeight="true" outlineLevel="0" collapsed="false">
      <c r="A1" s="2" t="s">
        <v>112</v>
      </c>
    </row>
    <row r="3" customFormat="false" ht="18" hidden="false" customHeight="true" outlineLevel="0" collapsed="false">
      <c r="A3" s="15" t="s">
        <v>113</v>
      </c>
      <c r="B3" s="16"/>
      <c r="C3" s="16"/>
      <c r="D3" s="16"/>
    </row>
    <row r="4" customFormat="false" ht="30" hidden="false" customHeight="true" outlineLevel="0" collapsed="false">
      <c r="A4" s="18" t="s">
        <v>114</v>
      </c>
      <c r="B4" s="18" t="s">
        <v>115</v>
      </c>
      <c r="C4" s="18" t="s">
        <v>116</v>
      </c>
      <c r="D4" s="18" t="s">
        <v>117</v>
      </c>
    </row>
    <row r="5" customFormat="false" ht="15.75" hidden="false" customHeight="true" outlineLevel="0" collapsed="false">
      <c r="A5" s="12" t="s">
        <v>118</v>
      </c>
      <c r="B5" s="12" t="n">
        <v>10</v>
      </c>
      <c r="C5" s="12" t="n">
        <v>10</v>
      </c>
      <c r="D5" s="21" t="n">
        <f aca="false">IFERROR(IF(OR(B5="",C5=""),"",C5-B5),"")</f>
        <v>0</v>
      </c>
    </row>
    <row r="6" customFormat="false" ht="15.75" hidden="false" customHeight="true" outlineLevel="0" collapsed="false">
      <c r="A6" s="12" t="s">
        <v>119</v>
      </c>
      <c r="B6" s="12" t="n">
        <v>4</v>
      </c>
      <c r="C6" s="12" t="n">
        <v>4</v>
      </c>
      <c r="D6" s="21" t="n">
        <f aca="false">IFERROR(IF(OR(B6="",C6=""),"",C6-B6),"")</f>
        <v>0</v>
      </c>
    </row>
    <row r="7" customFormat="false" ht="15.75" hidden="false" customHeight="true" outlineLevel="0" collapsed="false">
      <c r="A7" s="12" t="s">
        <v>120</v>
      </c>
      <c r="B7" s="12" t="n">
        <v>6</v>
      </c>
      <c r="C7" s="12" t="n">
        <v>6</v>
      </c>
      <c r="D7" s="21" t="n">
        <f aca="false">IFERROR(IF(OR(B7="",C7=""),"",C7-B7),"")</f>
        <v>0</v>
      </c>
    </row>
    <row r="8" customFormat="false" ht="15.75" hidden="false" customHeight="true" outlineLevel="0" collapsed="false">
      <c r="A8" s="12"/>
      <c r="B8" s="12"/>
      <c r="C8" s="12"/>
      <c r="D8" s="21" t="str">
        <f aca="false">IFERROR(IF(OR(B8="",C8=""),"",C8-B8),"")</f>
        <v/>
      </c>
    </row>
    <row r="10" customFormat="false" ht="18" hidden="false" customHeight="true" outlineLevel="0" collapsed="false">
      <c r="A10" s="15" t="s">
        <v>121</v>
      </c>
      <c r="B10" s="16"/>
      <c r="C10" s="16"/>
      <c r="D10" s="16"/>
    </row>
    <row r="11" customFormat="false" ht="18.75" hidden="false" customHeight="true" outlineLevel="0" collapsed="false">
      <c r="A11" s="4" t="s">
        <v>122</v>
      </c>
      <c r="B11" s="12" t="n">
        <v>400</v>
      </c>
      <c r="C11" s="4" t="s">
        <v>123</v>
      </c>
      <c r="D11" s="12" t="s">
        <v>124</v>
      </c>
    </row>
    <row r="12" customFormat="false" ht="18.75" hidden="false" customHeight="true" outlineLevel="0" collapsed="false">
      <c r="A12" s="4" t="s">
        <v>125</v>
      </c>
      <c r="B12" s="12" t="s">
        <v>124</v>
      </c>
      <c r="C12" s="4" t="s">
        <v>126</v>
      </c>
      <c r="D12" s="11" t="s">
        <v>124</v>
      </c>
    </row>
    <row r="13" customFormat="false" ht="18.75" hidden="false" customHeight="true" outlineLevel="0" collapsed="false">
      <c r="A13" s="4" t="s">
        <v>127</v>
      </c>
      <c r="B13" s="12" t="s">
        <v>124</v>
      </c>
      <c r="C13" s="4" t="s">
        <v>128</v>
      </c>
      <c r="D13" s="22" t="s">
        <v>124</v>
      </c>
    </row>
    <row r="15" customFormat="false" ht="18" hidden="false" customHeight="true" outlineLevel="0" collapsed="false">
      <c r="A15" s="15" t="s">
        <v>129</v>
      </c>
      <c r="B15" s="16"/>
      <c r="C15" s="16"/>
      <c r="D15" s="16"/>
    </row>
    <row r="16" customFormat="false" ht="18.75" hidden="false" customHeight="true" outlineLevel="0" collapsed="false">
      <c r="A16" s="4" t="s">
        <v>130</v>
      </c>
      <c r="B16" s="12" t="s">
        <v>131</v>
      </c>
      <c r="C16" s="4" t="s">
        <v>132</v>
      </c>
      <c r="D16" s="11" t="s">
        <v>124</v>
      </c>
    </row>
    <row r="17" customFormat="false" ht="31.5" hidden="false" customHeight="true" outlineLevel="0" collapsed="false">
      <c r="A17" s="4" t="s">
        <v>133</v>
      </c>
      <c r="B17" s="12" t="s">
        <v>134</v>
      </c>
      <c r="C17" s="4" t="s">
        <v>135</v>
      </c>
      <c r="D17" s="11" t="s">
        <v>136</v>
      </c>
    </row>
    <row r="18" customFormat="false" ht="18.75" hidden="false" customHeight="true" outlineLevel="0" collapsed="false">
      <c r="A18" s="4" t="s">
        <v>137</v>
      </c>
      <c r="B18" s="12" t="s">
        <v>138</v>
      </c>
      <c r="C18" s="4" t="s">
        <v>139</v>
      </c>
      <c r="D18" s="12" t="s">
        <v>140</v>
      </c>
    </row>
    <row r="20" customFormat="false" ht="18" hidden="false" customHeight="true" outlineLevel="0" collapsed="false">
      <c r="A20" s="15" t="s">
        <v>83</v>
      </c>
      <c r="B20" s="16"/>
      <c r="C20" s="16"/>
      <c r="D20" s="16"/>
    </row>
    <row r="21" customFormat="false" ht="18.75" hidden="false" customHeight="true" outlineLevel="0" collapsed="false">
      <c r="A21" s="4" t="s">
        <v>63</v>
      </c>
      <c r="B21" s="11" t="s">
        <v>64</v>
      </c>
      <c r="C21" s="4" t="s">
        <v>65</v>
      </c>
      <c r="D21" s="12" t="s">
        <v>6</v>
      </c>
    </row>
    <row r="22" customFormat="false" ht="18.75" hidden="false" customHeight="true" outlineLevel="0" collapsed="false">
      <c r="A22" s="4" t="s">
        <v>66</v>
      </c>
      <c r="B22" s="12" t="s">
        <v>8</v>
      </c>
      <c r="C22" s="4" t="s">
        <v>67</v>
      </c>
      <c r="D22" s="12" t="s">
        <v>68</v>
      </c>
    </row>
  </sheetData>
  <dataValidations count="1">
    <dataValidation allowBlank="true" errorStyle="stop" operator="between" showDropDown="false" showErrorMessage="false" showInputMessage="false" sqref="B13 B17 D2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8.5703125" defaultRowHeight="15" zeroHeight="false" outlineLevelRow="0" outlineLevelCol="0"/>
  <cols>
    <col collapsed="false" customWidth="true" hidden="false" outlineLevel="0" max="1" min="1" style="1" width="32"/>
    <col collapsed="false" customWidth="true" hidden="false" outlineLevel="0" max="2" min="2" style="1" width="25.57"/>
    <col collapsed="false" customWidth="true" hidden="false" outlineLevel="0" max="3" min="3" style="1" width="34"/>
    <col collapsed="false" customWidth="true" hidden="false" outlineLevel="0" max="4" min="4" style="1" width="22"/>
  </cols>
  <sheetData>
    <row r="1" customFormat="false" ht="19.5" hidden="false" customHeight="true" outlineLevel="0" collapsed="false">
      <c r="A1" s="2" t="s">
        <v>141</v>
      </c>
    </row>
    <row r="3" customFormat="false" ht="18.75" hidden="false" customHeight="true" outlineLevel="0" collapsed="false">
      <c r="A3" s="4" t="s">
        <v>142</v>
      </c>
      <c r="B3" s="12" t="s">
        <v>108</v>
      </c>
      <c r="C3" s="4" t="s">
        <v>96</v>
      </c>
      <c r="D3" s="12" t="s">
        <v>109</v>
      </c>
    </row>
    <row r="4" customFormat="false" ht="18.75" hidden="false" customHeight="true" outlineLevel="0" collapsed="false">
      <c r="A4" s="4" t="s">
        <v>143</v>
      </c>
      <c r="B4" s="12" t="n">
        <v>37</v>
      </c>
      <c r="C4" s="4" t="s">
        <v>144</v>
      </c>
      <c r="D4" s="23" t="n">
        <v>0.05</v>
      </c>
    </row>
    <row r="5" customFormat="false" ht="18.75" hidden="false" customHeight="true" outlineLevel="0" collapsed="false">
      <c r="A5" s="4" t="s">
        <v>145</v>
      </c>
      <c r="B5" s="12" t="s">
        <v>146</v>
      </c>
      <c r="C5" s="4" t="s">
        <v>147</v>
      </c>
      <c r="D5" s="12" t="s">
        <v>68</v>
      </c>
    </row>
    <row r="7" customFormat="false" ht="18" hidden="false" customHeight="true" outlineLevel="0" collapsed="false">
      <c r="A7" s="15" t="s">
        <v>83</v>
      </c>
      <c r="B7" s="16"/>
      <c r="C7" s="16"/>
      <c r="D7" s="16"/>
    </row>
    <row r="8" customFormat="false" ht="18.75" hidden="false" customHeight="true" outlineLevel="0" collapsed="false">
      <c r="A8" s="4" t="s">
        <v>63</v>
      </c>
      <c r="B8" s="12" t="s">
        <v>64</v>
      </c>
      <c r="C8" s="4" t="s">
        <v>65</v>
      </c>
      <c r="D8" s="12" t="s">
        <v>6</v>
      </c>
    </row>
    <row r="9" customFormat="false" ht="18.75" hidden="false" customHeight="true" outlineLevel="0" collapsed="false">
      <c r="A9" s="4" t="s">
        <v>66</v>
      </c>
      <c r="B9" s="12" t="s">
        <v>8</v>
      </c>
      <c r="C9" s="4" t="s">
        <v>67</v>
      </c>
      <c r="D9" s="12" t="s">
        <v>68</v>
      </c>
    </row>
  </sheetData>
  <dataValidations count="2">
    <dataValidation allowBlank="true" errorStyle="stop" operator="between" showDropDown="false" showErrorMessage="false" showInputMessage="false" sqref="D3" type="list">
      <formula1>"Static,Shaker,CO2"</formula1>
      <formula2>0</formula2>
    </dataValidation>
    <dataValidation allowBlank="true" errorStyle="stop" operator="between" showDropDown="false" showErrorMessage="false" showInputMessage="false" sqref="D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5703125" defaultRowHeight="15" zeroHeight="false" outlineLevelRow="0" outlineLevelCol="0"/>
  <cols>
    <col collapsed="false" customWidth="true" hidden="false" outlineLevel="0" max="1" min="1" style="1" width="30.43"/>
    <col collapsed="false" customWidth="true" hidden="false" outlineLevel="0" max="2" min="2" style="1" width="16.14"/>
    <col collapsed="false" customWidth="true" hidden="false" outlineLevel="0" max="3" min="3" style="1" width="29"/>
    <col collapsed="false" customWidth="true" hidden="false" outlineLevel="0" max="4" min="4" style="1" width="25.29"/>
    <col collapsed="false" customWidth="true" hidden="false" outlineLevel="0" max="5" min="5" style="1" width="18.14"/>
    <col collapsed="false" customWidth="true" hidden="false" outlineLevel="0" max="6" min="6" style="1" width="15.57"/>
    <col collapsed="false" customWidth="true" hidden="false" outlineLevel="0" max="7" min="7" style="1" width="18"/>
    <col collapsed="false" customWidth="true" hidden="false" outlineLevel="0" max="8" min="8" style="1" width="30"/>
    <col collapsed="false" customWidth="true" hidden="false" outlineLevel="0" max="9" min="9" style="1" width="16"/>
  </cols>
  <sheetData>
    <row r="1" customFormat="false" ht="19.5" hidden="false" customHeight="true" outlineLevel="0" collapsed="false">
      <c r="A1" s="2" t="s">
        <v>148</v>
      </c>
    </row>
    <row r="2" customFormat="false" ht="13.5" hidden="false" customHeight="true" outlineLevel="0" collapsed="false">
      <c r="A2" s="3"/>
    </row>
    <row r="4" customFormat="false" ht="30" hidden="false" customHeight="true" outlineLevel="0" collapsed="false">
      <c r="A4" s="18" t="s">
        <v>55</v>
      </c>
      <c r="B4" s="18" t="s">
        <v>70</v>
      </c>
      <c r="C4" s="18" t="s">
        <v>149</v>
      </c>
      <c r="D4" s="18" t="s">
        <v>150</v>
      </c>
      <c r="E4" s="18" t="s">
        <v>151</v>
      </c>
      <c r="F4" s="18" t="s">
        <v>152</v>
      </c>
      <c r="G4" s="18" t="s">
        <v>153</v>
      </c>
      <c r="H4" s="18" t="s">
        <v>154</v>
      </c>
      <c r="I4" s="18" t="s">
        <v>155</v>
      </c>
    </row>
    <row r="5" customFormat="false" ht="15.75" hidden="false" customHeight="true" outlineLevel="0" collapsed="false">
      <c r="A5" s="19" t="n">
        <v>1</v>
      </c>
      <c r="B5" s="12" t="s">
        <v>80</v>
      </c>
      <c r="C5" s="22" t="s">
        <v>80</v>
      </c>
      <c r="D5" s="12" t="s">
        <v>80</v>
      </c>
      <c r="E5" s="12" t="s">
        <v>80</v>
      </c>
      <c r="F5" s="12" t="s">
        <v>156</v>
      </c>
      <c r="G5" s="12" t="s">
        <v>80</v>
      </c>
      <c r="H5" s="12" t="s">
        <v>157</v>
      </c>
      <c r="I5" s="12" t="s">
        <v>80</v>
      </c>
    </row>
    <row r="6" customFormat="false" ht="15.75" hidden="false" customHeight="true" outlineLevel="0" collapsed="false">
      <c r="A6" s="19"/>
      <c r="B6" s="12"/>
      <c r="C6" s="22"/>
      <c r="D6" s="12"/>
      <c r="E6" s="12"/>
      <c r="F6" s="12"/>
      <c r="G6" s="12"/>
      <c r="H6" s="12"/>
      <c r="I6" s="12"/>
    </row>
    <row r="7" customFormat="false" ht="15.75" hidden="false" customHeight="true" outlineLevel="0" collapsed="false">
      <c r="A7" s="19"/>
      <c r="B7" s="12"/>
      <c r="C7" s="22"/>
      <c r="D7" s="12"/>
      <c r="E7" s="12"/>
      <c r="F7" s="12"/>
      <c r="G7" s="12"/>
      <c r="H7" s="12"/>
      <c r="I7" s="12"/>
    </row>
    <row r="9" customFormat="false" ht="18" hidden="false" customHeight="true" outlineLevel="0" collapsed="false">
      <c r="A9" s="15" t="s">
        <v>83</v>
      </c>
      <c r="B9" s="16"/>
      <c r="C9" s="16"/>
      <c r="D9" s="16"/>
    </row>
    <row r="10" customFormat="false" ht="31.5" hidden="false" customHeight="true" outlineLevel="0" collapsed="false">
      <c r="A10" s="4" t="s">
        <v>84</v>
      </c>
      <c r="B10" s="12" t="s">
        <v>80</v>
      </c>
      <c r="C10" s="4" t="s">
        <v>65</v>
      </c>
      <c r="D10" s="12" t="s">
        <v>6</v>
      </c>
    </row>
    <row r="11" customFormat="false" ht="45" hidden="false" customHeight="true" outlineLevel="0" collapsed="false">
      <c r="A11" s="4" t="s">
        <v>66</v>
      </c>
      <c r="B11" s="12" t="s">
        <v>8</v>
      </c>
      <c r="C11" s="4" t="s">
        <v>67</v>
      </c>
      <c r="D11" s="12" t="s">
        <v>68</v>
      </c>
    </row>
  </sheetData>
  <dataValidations count="2">
    <dataValidation allowBlank="true" errorStyle="stop" operator="between" showDropDown="false" showErrorMessage="false" showInputMessage="false" sqref="B5:B7" type="list">
      <formula1>"1,2,3"</formula1>
      <formula2>0</formula2>
    </dataValidation>
    <dataValidation allowBlank="true" errorStyle="stop" operator="between" showDropDown="false" showErrorMessage="false" showInputMessage="false" sqref="D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4" activeCellId="0" sqref="D14"/>
    </sheetView>
  </sheetViews>
  <sheetFormatPr defaultColWidth="8.5703125" defaultRowHeight="15" zeroHeight="false" outlineLevelRow="0" outlineLevelCol="0"/>
  <cols>
    <col collapsed="false" customWidth="true" hidden="false" outlineLevel="0" max="1" min="1" style="1" width="36.57"/>
    <col collapsed="false" customWidth="true" hidden="false" outlineLevel="0" max="2" min="2" style="1" width="31.29"/>
    <col collapsed="false" customWidth="true" hidden="false" outlineLevel="0" max="3" min="3" style="1" width="28.57"/>
    <col collapsed="false" customWidth="true" hidden="false" outlineLevel="0" max="4" min="4" style="1" width="27.86"/>
    <col collapsed="false" customWidth="true" hidden="false" outlineLevel="0" max="5" min="5" style="1" width="20.42"/>
    <col collapsed="false" customWidth="true" hidden="false" outlineLevel="0" max="6" min="6" style="1" width="14"/>
    <col collapsed="false" customWidth="true" hidden="false" outlineLevel="0" max="7" min="7" style="1" width="12"/>
    <col collapsed="false" customWidth="true" hidden="false" outlineLevel="0" max="8" min="8" style="1" width="26"/>
    <col collapsed="false" customWidth="true" hidden="false" outlineLevel="0" max="9" min="9" style="1" width="16"/>
    <col collapsed="false" customWidth="true" hidden="false" outlineLevel="0" max="10" min="10" style="1" width="21"/>
    <col collapsed="false" customWidth="true" hidden="false" outlineLevel="0" max="11" min="11" style="1" width="19.57"/>
    <col collapsed="false" customWidth="true" hidden="false" outlineLevel="0" max="13" min="12" style="1" width="20"/>
    <col collapsed="false" customWidth="true" hidden="false" outlineLevel="0" max="14" min="14" style="1" width="16"/>
    <col collapsed="false" customWidth="true" hidden="false" outlineLevel="0" max="15" min="15" style="1" width="14"/>
  </cols>
  <sheetData>
    <row r="1" customFormat="false" ht="19.5" hidden="false" customHeight="true" outlineLevel="0" collapsed="false">
      <c r="A1" s="2" t="s">
        <v>158</v>
      </c>
    </row>
    <row r="2" customFormat="false" ht="13.5" hidden="false" customHeight="true" outlineLevel="0" collapsed="false">
      <c r="A2" s="3" t="s">
        <v>159</v>
      </c>
    </row>
    <row r="4" customFormat="false" ht="30" hidden="false" customHeight="true" outlineLevel="0" collapsed="false">
      <c r="A4" s="18" t="s">
        <v>55</v>
      </c>
      <c r="B4" s="18" t="s">
        <v>70</v>
      </c>
      <c r="C4" s="18" t="s">
        <v>160</v>
      </c>
      <c r="D4" s="18" t="s">
        <v>161</v>
      </c>
      <c r="E4" s="18" t="s">
        <v>162</v>
      </c>
      <c r="F4" s="18" t="s">
        <v>163</v>
      </c>
      <c r="G4" s="18" t="s">
        <v>164</v>
      </c>
      <c r="H4" s="18" t="s">
        <v>165</v>
      </c>
      <c r="I4" s="18" t="s">
        <v>166</v>
      </c>
      <c r="J4" s="18" t="s">
        <v>167</v>
      </c>
      <c r="K4" s="18" t="s">
        <v>168</v>
      </c>
      <c r="L4" s="18" t="s">
        <v>169</v>
      </c>
      <c r="M4" s="18" t="s">
        <v>170</v>
      </c>
      <c r="N4" s="18" t="s">
        <v>171</v>
      </c>
      <c r="O4" s="18" t="s">
        <v>7</v>
      </c>
    </row>
    <row r="5" customFormat="false" ht="15.75" hidden="false" customHeight="true" outlineLevel="0" collapsed="false">
      <c r="A5" s="19" t="n">
        <v>1</v>
      </c>
      <c r="B5" s="12" t="s">
        <v>99</v>
      </c>
      <c r="C5" s="12" t="s">
        <v>172</v>
      </c>
      <c r="D5" s="12" t="s">
        <v>80</v>
      </c>
      <c r="E5" s="12" t="s">
        <v>156</v>
      </c>
      <c r="F5" s="12" t="s">
        <v>104</v>
      </c>
      <c r="G5" s="12" t="s">
        <v>173</v>
      </c>
      <c r="H5" s="12" t="s">
        <v>174</v>
      </c>
      <c r="I5" s="12" t="s">
        <v>105</v>
      </c>
      <c r="J5" s="12" t="s">
        <v>107</v>
      </c>
      <c r="K5" s="12" t="s">
        <v>175</v>
      </c>
      <c r="L5" s="12" t="s">
        <v>106</v>
      </c>
      <c r="M5" s="12" t="s">
        <v>80</v>
      </c>
      <c r="N5" s="12" t="s">
        <v>111</v>
      </c>
      <c r="O5" s="12" t="s">
        <v>176</v>
      </c>
    </row>
    <row r="6" customFormat="false" ht="15.75" hidden="false" customHeight="true" outlineLevel="0" collapsed="false">
      <c r="A6" s="19" t="n">
        <v>2</v>
      </c>
      <c r="B6" s="12"/>
      <c r="C6" s="12"/>
      <c r="D6" s="12"/>
      <c r="E6" s="12"/>
      <c r="F6" s="12"/>
      <c r="G6" s="12"/>
      <c r="H6" s="12"/>
      <c r="I6" s="12"/>
      <c r="J6" s="12"/>
      <c r="K6" s="12"/>
      <c r="L6" s="12"/>
      <c r="M6" s="12"/>
      <c r="N6" s="12"/>
      <c r="O6" s="12"/>
    </row>
    <row r="7" customFormat="false" ht="15.75" hidden="false" customHeight="true" outlineLevel="0" collapsed="false">
      <c r="A7" s="19" t="n">
        <v>3</v>
      </c>
      <c r="B7" s="12"/>
      <c r="C7" s="12"/>
      <c r="D7" s="12"/>
      <c r="E7" s="12"/>
      <c r="F7" s="12"/>
      <c r="G7" s="12"/>
      <c r="H7" s="12"/>
      <c r="I7" s="12"/>
      <c r="J7" s="12"/>
      <c r="K7" s="12"/>
      <c r="L7" s="12"/>
      <c r="M7" s="12"/>
      <c r="N7" s="12"/>
      <c r="O7" s="12"/>
    </row>
    <row r="8" customFormat="false" ht="15.75" hidden="false" customHeight="true" outlineLevel="0" collapsed="false">
      <c r="A8" s="19" t="n">
        <v>4</v>
      </c>
      <c r="B8" s="12"/>
      <c r="C8" s="12"/>
      <c r="D8" s="12"/>
      <c r="E8" s="12"/>
      <c r="F8" s="12"/>
      <c r="G8" s="12"/>
      <c r="H8" s="12"/>
      <c r="I8" s="12"/>
      <c r="J8" s="12"/>
      <c r="K8" s="12"/>
      <c r="L8" s="12"/>
      <c r="M8" s="12"/>
      <c r="N8" s="12"/>
      <c r="O8" s="12"/>
    </row>
    <row r="9" customFormat="false" ht="15.75" hidden="false" customHeight="true" outlineLevel="0" collapsed="false">
      <c r="A9" s="19" t="n">
        <v>5</v>
      </c>
      <c r="B9" s="12"/>
      <c r="C9" s="12"/>
      <c r="D9" s="12"/>
      <c r="E9" s="12"/>
      <c r="F9" s="12"/>
      <c r="G9" s="12"/>
      <c r="H9" s="12"/>
      <c r="I9" s="12"/>
      <c r="J9" s="12"/>
      <c r="K9" s="12"/>
      <c r="L9" s="12"/>
      <c r="M9" s="12"/>
      <c r="N9" s="12"/>
      <c r="O9" s="12"/>
    </row>
    <row r="10" customFormat="false" ht="15.75" hidden="false" customHeight="true" outlineLevel="0" collapsed="false">
      <c r="A10" s="19" t="n">
        <v>6</v>
      </c>
      <c r="B10" s="12"/>
      <c r="C10" s="12"/>
      <c r="D10" s="12"/>
      <c r="E10" s="12"/>
      <c r="F10" s="12"/>
      <c r="G10" s="12"/>
      <c r="H10" s="12"/>
      <c r="I10" s="12"/>
      <c r="J10" s="12"/>
      <c r="K10" s="12"/>
      <c r="L10" s="12"/>
      <c r="M10" s="12"/>
      <c r="N10" s="12"/>
      <c r="O10" s="12"/>
    </row>
    <row r="13" customFormat="false" ht="18" hidden="false" customHeight="true" outlineLevel="0" collapsed="false">
      <c r="A13" s="15" t="s">
        <v>83</v>
      </c>
      <c r="B13" s="16"/>
      <c r="C13" s="16"/>
      <c r="D13" s="16"/>
      <c r="E13" s="16"/>
    </row>
    <row r="14" customFormat="false" ht="31.5" hidden="false" customHeight="true" outlineLevel="0" collapsed="false">
      <c r="A14" s="4" t="s">
        <v>84</v>
      </c>
      <c r="B14" s="12" t="s">
        <v>80</v>
      </c>
      <c r="C14" s="4" t="s">
        <v>65</v>
      </c>
      <c r="D14" s="12" t="s">
        <v>6</v>
      </c>
    </row>
    <row r="15" customFormat="false" ht="45" hidden="false" customHeight="true" outlineLevel="0" collapsed="false">
      <c r="A15" s="4" t="s">
        <v>66</v>
      </c>
      <c r="B15" s="12" t="s">
        <v>8</v>
      </c>
      <c r="C15" s="4" t="s">
        <v>67</v>
      </c>
      <c r="D15" s="12" t="s">
        <v>68</v>
      </c>
    </row>
  </sheetData>
  <dataValidations count="3">
    <dataValidation allowBlank="true" errorStyle="stop" operator="between" showDropDown="false" showErrorMessage="false" showInputMessage="false" sqref="B5:B10" type="list">
      <formula1>"1,2,3"</formula1>
      <formula2>0</formula2>
    </dataValidation>
    <dataValidation allowBlank="true" errorStyle="stop" operator="between" showDropDown="false" showErrorMessage="false" showInputMessage="false" sqref="G5:G10 D15" type="list">
      <formula1>"Y,N"</formula1>
      <formula2>0</formula2>
    </dataValidation>
    <dataValidation allowBlank="true" errorStyle="stop" operator="between" showDropDown="false" showErrorMessage="false" showInputMessage="false" sqref="K5:K10" type="list">
      <formula1>"Next Stage,Batch Flask"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E12" activeCellId="0" sqref="E12"/>
    </sheetView>
  </sheetViews>
  <sheetFormatPr defaultColWidth="8.5703125" defaultRowHeight="15" zeroHeight="false" outlineLevelRow="0" outlineLevelCol="0"/>
  <cols>
    <col collapsed="false" customWidth="true" hidden="false" outlineLevel="0" max="1" min="1" style="1" width="26.42"/>
    <col collapsed="false" customWidth="true" hidden="false" outlineLevel="0" max="2" min="2" style="1" width="24.57"/>
    <col collapsed="false" customWidth="true" hidden="false" outlineLevel="0" max="3" min="3" style="1" width="18"/>
    <col collapsed="false" customWidth="true" hidden="false" outlineLevel="0" max="4" min="4" style="1" width="27.57"/>
    <col collapsed="false" customWidth="true" hidden="false" outlineLevel="0" max="5" min="5" style="1" width="16"/>
    <col collapsed="false" customWidth="true" hidden="false" outlineLevel="0" max="6" min="6" style="1" width="19.86"/>
    <col collapsed="false" customWidth="true" hidden="false" outlineLevel="0" max="7" min="7" style="1" width="16"/>
    <col collapsed="false" customWidth="true" hidden="false" outlineLevel="0" max="8" min="8" style="1" width="12"/>
    <col collapsed="false" customWidth="true" hidden="false" outlineLevel="0" max="9" min="9" style="1" width="14"/>
    <col collapsed="false" customWidth="true" hidden="false" outlineLevel="0" max="12" min="10" style="1" width="16"/>
  </cols>
  <sheetData>
    <row r="1" customFormat="false" ht="19.5" hidden="false" customHeight="true" outlineLevel="0" collapsed="false">
      <c r="A1" s="2" t="s">
        <v>177</v>
      </c>
    </row>
    <row r="2" customFormat="false" ht="13.5" hidden="false" customHeight="true" outlineLevel="0" collapsed="false">
      <c r="A2" s="3"/>
    </row>
    <row r="4" customFormat="false" ht="30" hidden="false" customHeight="true" outlineLevel="0" collapsed="false">
      <c r="A4" s="18" t="s">
        <v>55</v>
      </c>
      <c r="B4" s="18" t="s">
        <v>56</v>
      </c>
      <c r="C4" s="18" t="s">
        <v>57</v>
      </c>
      <c r="D4" s="18" t="s">
        <v>178</v>
      </c>
      <c r="E4" s="18" t="s">
        <v>179</v>
      </c>
      <c r="F4" s="18" t="s">
        <v>94</v>
      </c>
      <c r="G4" s="18" t="s">
        <v>180</v>
      </c>
      <c r="H4" s="18" t="s">
        <v>181</v>
      </c>
      <c r="I4" s="18" t="s">
        <v>182</v>
      </c>
      <c r="J4" s="18" t="s">
        <v>183</v>
      </c>
      <c r="K4" s="18" t="s">
        <v>184</v>
      </c>
      <c r="L4" s="18" t="s">
        <v>185</v>
      </c>
    </row>
    <row r="5" customFormat="false" ht="15.75" hidden="false" customHeight="true" outlineLevel="0" collapsed="false">
      <c r="A5" s="19" t="n">
        <v>1</v>
      </c>
      <c r="B5" s="12" t="s">
        <v>59</v>
      </c>
      <c r="C5" s="12" t="s">
        <v>60</v>
      </c>
      <c r="D5" s="12" t="s">
        <v>99</v>
      </c>
      <c r="E5" s="23" t="s">
        <v>105</v>
      </c>
      <c r="F5" s="12" t="s">
        <v>107</v>
      </c>
      <c r="G5" s="12" t="n">
        <v>201</v>
      </c>
      <c r="H5" s="12" t="n">
        <v>5.83</v>
      </c>
      <c r="I5" s="12" t="n">
        <v>37</v>
      </c>
      <c r="J5" s="12" t="s">
        <v>134</v>
      </c>
      <c r="K5" s="12" t="s">
        <v>134</v>
      </c>
      <c r="L5" s="12" t="s">
        <v>111</v>
      </c>
    </row>
    <row r="6" customFormat="false" ht="15" hidden="false" customHeight="true" outlineLevel="0" collapsed="false">
      <c r="A6" s="1" t="n">
        <v>2</v>
      </c>
      <c r="B6" s="1" t="s">
        <v>62</v>
      </c>
      <c r="C6" s="1" t="s">
        <v>60</v>
      </c>
      <c r="D6" s="1" t="s">
        <v>99</v>
      </c>
      <c r="E6" s="1" t="s">
        <v>105</v>
      </c>
      <c r="F6" s="1" t="s">
        <v>107</v>
      </c>
      <c r="G6" s="1" t="n">
        <v>201</v>
      </c>
      <c r="H6" s="1" t="n">
        <v>5.7</v>
      </c>
      <c r="I6" s="1" t="n">
        <v>37</v>
      </c>
      <c r="J6" s="1" t="s">
        <v>134</v>
      </c>
      <c r="K6" s="1" t="s">
        <v>134</v>
      </c>
      <c r="L6" s="1" t="s">
        <v>111</v>
      </c>
    </row>
    <row r="7" customFormat="false" ht="18" hidden="false" customHeight="true" outlineLevel="0" collapsed="false">
      <c r="A7" s="15"/>
      <c r="B7" s="16"/>
      <c r="C7" s="16"/>
      <c r="D7" s="16"/>
    </row>
    <row r="8" customFormat="false" ht="31.5" hidden="false" customHeight="true" outlineLevel="0" collapsed="false">
      <c r="A8" s="4" t="s">
        <v>63</v>
      </c>
      <c r="B8" s="11" t="s">
        <v>64</v>
      </c>
      <c r="C8" s="4" t="s">
        <v>65</v>
      </c>
      <c r="D8" s="12" t="s">
        <v>6</v>
      </c>
    </row>
    <row r="9" customFormat="false" ht="45" hidden="false" customHeight="true" outlineLevel="0" collapsed="false">
      <c r="A9" s="4" t="s">
        <v>66</v>
      </c>
      <c r="B9" s="12" t="s">
        <v>8</v>
      </c>
      <c r="C9" s="4" t="s">
        <v>67</v>
      </c>
      <c r="D9" s="12" t="s">
        <v>68</v>
      </c>
    </row>
  </sheetData>
  <dataValidations count="3">
    <dataValidation allowBlank="true" errorStyle="stop" operator="between" showDropDown="false" showErrorMessage="false" showInputMessage="false" sqref="D5" type="list">
      <formula1>"1,2,3"</formula1>
      <formula2>0</formula2>
    </dataValidation>
    <dataValidation allowBlank="true" errorStyle="stop" operator="between" showDropDown="false" showErrorMessage="false" showInputMessage="false" sqref="J5:K5 D9" type="list">
      <formula1>"Y,N"</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E10" activeCellId="0" sqref="E10"/>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42"/>
    <col collapsed="false" customWidth="true" hidden="false" outlineLevel="0" max="7" min="6" style="1" width="9"/>
    <col collapsed="false" customWidth="true" hidden="false" outlineLevel="0" max="8" min="8" style="1" width="12"/>
    <col collapsed="false" customWidth="true" hidden="false" outlineLevel="0" max="9" min="9" style="1" width="18"/>
    <col collapsed="false" customWidth="true" hidden="false" outlineLevel="0" max="10" min="10" style="1" width="30"/>
    <col collapsed="false" customWidth="true" hidden="false" outlineLevel="0" max="11" min="11" style="1" width="16"/>
  </cols>
  <sheetData>
    <row r="1" customFormat="false" ht="19.5" hidden="false" customHeight="true" outlineLevel="0" collapsed="false">
      <c r="A1" s="10" t="s">
        <v>186</v>
      </c>
      <c r="B1" s="10"/>
      <c r="C1" s="10"/>
      <c r="D1" s="10"/>
      <c r="E1" s="10"/>
      <c r="F1" s="10"/>
      <c r="G1" s="10"/>
      <c r="H1" s="10"/>
      <c r="I1" s="10"/>
      <c r="J1" s="10"/>
      <c r="K1" s="10"/>
    </row>
    <row r="2" customFormat="false" ht="13.5" hidden="false" customHeight="true" outlineLevel="0" collapsed="false">
      <c r="A2" s="3"/>
    </row>
    <row r="4" customFormat="false" ht="30" hidden="false" customHeight="true" outlineLevel="0" collapsed="false">
      <c r="A4" s="18" t="s">
        <v>55</v>
      </c>
      <c r="B4" s="18" t="s">
        <v>56</v>
      </c>
      <c r="C4" s="18" t="s">
        <v>187</v>
      </c>
      <c r="D4" s="18" t="s">
        <v>188</v>
      </c>
      <c r="E4" s="18" t="s">
        <v>149</v>
      </c>
      <c r="F4" s="18" t="s">
        <v>151</v>
      </c>
      <c r="G4" s="18" t="s">
        <v>152</v>
      </c>
      <c r="H4" s="18" t="s">
        <v>189</v>
      </c>
      <c r="I4" s="18" t="s">
        <v>190</v>
      </c>
      <c r="J4" s="18" t="s">
        <v>154</v>
      </c>
      <c r="K4" s="18" t="s">
        <v>155</v>
      </c>
    </row>
    <row r="5" customFormat="false" ht="15.75" hidden="false" customHeight="true" outlineLevel="0" collapsed="false">
      <c r="A5" s="19" t="n">
        <v>1</v>
      </c>
      <c r="B5" s="12" t="s">
        <v>59</v>
      </c>
      <c r="C5" s="12" t="n">
        <v>0</v>
      </c>
      <c r="D5" s="12" t="s">
        <v>50</v>
      </c>
      <c r="E5" s="22" t="s">
        <v>191</v>
      </c>
      <c r="F5" s="12" t="n">
        <v>5.83</v>
      </c>
      <c r="G5" s="24" t="s">
        <v>124</v>
      </c>
      <c r="H5" s="12" t="s">
        <v>192</v>
      </c>
      <c r="I5" s="12" t="s">
        <v>134</v>
      </c>
      <c r="J5" s="12" t="s">
        <v>124</v>
      </c>
      <c r="K5" s="12" t="s">
        <v>52</v>
      </c>
    </row>
    <row r="6" customFormat="false" ht="15.75" hidden="false" customHeight="true" outlineLevel="0" collapsed="false">
      <c r="A6" s="19" t="n">
        <v>2</v>
      </c>
      <c r="B6" s="12" t="s">
        <v>59</v>
      </c>
      <c r="C6" s="12" t="n">
        <v>6</v>
      </c>
      <c r="D6" s="12" t="s">
        <v>50</v>
      </c>
      <c r="E6" s="22" t="s">
        <v>193</v>
      </c>
      <c r="F6" s="12" t="n">
        <v>5.55</v>
      </c>
      <c r="G6" s="24" t="s">
        <v>124</v>
      </c>
      <c r="H6" s="12" t="s">
        <v>192</v>
      </c>
      <c r="I6" s="12" t="s">
        <v>134</v>
      </c>
      <c r="J6" s="12" t="s">
        <v>194</v>
      </c>
      <c r="K6" s="12" t="s">
        <v>52</v>
      </c>
    </row>
    <row r="7" customFormat="false" ht="15.75" hidden="false" customHeight="true" outlineLevel="0" collapsed="false">
      <c r="A7" s="19" t="n">
        <v>3</v>
      </c>
      <c r="B7" s="12" t="s">
        <v>59</v>
      </c>
      <c r="C7" s="12" t="n">
        <v>12</v>
      </c>
      <c r="D7" s="12" t="s">
        <v>50</v>
      </c>
      <c r="E7" s="22" t="s">
        <v>195</v>
      </c>
      <c r="F7" s="12" t="n">
        <v>5.35</v>
      </c>
      <c r="G7" s="24" t="s">
        <v>124</v>
      </c>
      <c r="H7" s="12" t="s">
        <v>192</v>
      </c>
      <c r="I7" s="12" t="s">
        <v>134</v>
      </c>
      <c r="J7" s="12" t="s">
        <v>194</v>
      </c>
      <c r="K7" s="12" t="s">
        <v>176</v>
      </c>
    </row>
    <row r="8" customFormat="false" ht="15.75" hidden="false" customHeight="true" outlineLevel="0" collapsed="false">
      <c r="A8" s="19" t="n">
        <v>4</v>
      </c>
      <c r="B8" s="12" t="s">
        <v>59</v>
      </c>
      <c r="C8" s="12" t="n">
        <v>24</v>
      </c>
      <c r="D8" s="25" t="s">
        <v>196</v>
      </c>
      <c r="E8" s="22" t="s">
        <v>191</v>
      </c>
      <c r="F8" s="12" t="n">
        <v>5.17</v>
      </c>
      <c r="G8" s="24" t="s">
        <v>124</v>
      </c>
      <c r="H8" s="12" t="s">
        <v>192</v>
      </c>
      <c r="I8" s="12" t="s">
        <v>134</v>
      </c>
      <c r="J8" s="12" t="s">
        <v>124</v>
      </c>
      <c r="K8" s="12" t="s">
        <v>52</v>
      </c>
    </row>
    <row r="9" customFormat="false" ht="15.75" hidden="false" customHeight="true" outlineLevel="0" collapsed="false">
      <c r="A9" s="19" t="n">
        <v>5</v>
      </c>
      <c r="B9" s="12" t="s">
        <v>59</v>
      </c>
      <c r="C9" s="12" t="n">
        <v>30</v>
      </c>
      <c r="D9" s="25" t="s">
        <v>196</v>
      </c>
      <c r="E9" s="22" t="s">
        <v>193</v>
      </c>
      <c r="F9" s="12" t="n">
        <v>5.13</v>
      </c>
      <c r="G9" s="24" t="s">
        <v>124</v>
      </c>
      <c r="H9" s="12" t="s">
        <v>192</v>
      </c>
      <c r="I9" s="12" t="s">
        <v>134</v>
      </c>
      <c r="J9" s="12" t="s">
        <v>194</v>
      </c>
      <c r="K9" s="12" t="s">
        <v>52</v>
      </c>
    </row>
    <row r="10" customFormat="false" ht="15.75" hidden="false" customHeight="true" outlineLevel="0" collapsed="false">
      <c r="A10" s="19" t="n">
        <v>6</v>
      </c>
      <c r="B10" s="12" t="s">
        <v>59</v>
      </c>
      <c r="C10" s="12" t="n">
        <v>36</v>
      </c>
      <c r="D10" s="25" t="s">
        <v>196</v>
      </c>
      <c r="E10" s="22" t="s">
        <v>195</v>
      </c>
      <c r="F10" s="12" t="n">
        <v>5.11</v>
      </c>
      <c r="G10" s="24" t="s">
        <v>124</v>
      </c>
      <c r="H10" s="12" t="s">
        <v>192</v>
      </c>
      <c r="I10" s="12" t="s">
        <v>134</v>
      </c>
      <c r="J10" s="12" t="s">
        <v>194</v>
      </c>
      <c r="K10" s="12" t="s">
        <v>176</v>
      </c>
    </row>
    <row r="11" customFormat="false" ht="15.75" hidden="false" customHeight="true" outlineLevel="0" collapsed="false">
      <c r="A11" s="19" t="n">
        <v>7</v>
      </c>
      <c r="B11" s="12" t="s">
        <v>59</v>
      </c>
      <c r="C11" s="12" t="n">
        <v>48</v>
      </c>
      <c r="D11" s="12" t="s">
        <v>197</v>
      </c>
      <c r="E11" s="12" t="s">
        <v>191</v>
      </c>
      <c r="F11" s="12" t="n">
        <v>5.09</v>
      </c>
      <c r="G11" s="12" t="s">
        <v>124</v>
      </c>
      <c r="H11" s="12" t="s">
        <v>192</v>
      </c>
      <c r="I11" s="12" t="s">
        <v>134</v>
      </c>
      <c r="J11" s="12" t="s">
        <v>124</v>
      </c>
      <c r="K11" s="12" t="s">
        <v>52</v>
      </c>
    </row>
    <row r="12" customFormat="false" ht="15.75" hidden="false" customHeight="true" outlineLevel="0" collapsed="false">
      <c r="A12" s="19" t="n">
        <v>8</v>
      </c>
      <c r="B12" s="12" t="s">
        <v>62</v>
      </c>
      <c r="C12" s="12" t="n">
        <v>0</v>
      </c>
      <c r="D12" s="12" t="s">
        <v>50</v>
      </c>
      <c r="E12" s="12" t="s">
        <v>191</v>
      </c>
      <c r="F12" s="12" t="n">
        <v>5.7</v>
      </c>
      <c r="G12" s="12" t="s">
        <v>124</v>
      </c>
      <c r="H12" s="12" t="s">
        <v>192</v>
      </c>
      <c r="I12" s="12" t="s">
        <v>134</v>
      </c>
      <c r="J12" s="12" t="s">
        <v>124</v>
      </c>
      <c r="K12" s="12" t="s">
        <v>52</v>
      </c>
    </row>
    <row r="13" customFormat="false" ht="15.75" hidden="false" customHeight="true" outlineLevel="0" collapsed="false">
      <c r="A13" s="19" t="n">
        <v>9</v>
      </c>
      <c r="B13" s="12" t="s">
        <v>62</v>
      </c>
      <c r="C13" s="12" t="n">
        <v>6</v>
      </c>
      <c r="D13" s="12" t="s">
        <v>50</v>
      </c>
      <c r="E13" s="12" t="s">
        <v>193</v>
      </c>
      <c r="F13" s="12" t="n">
        <v>5.58</v>
      </c>
      <c r="G13" s="12" t="s">
        <v>124</v>
      </c>
      <c r="H13" s="12" t="s">
        <v>192</v>
      </c>
      <c r="I13" s="12" t="s">
        <v>134</v>
      </c>
      <c r="J13" s="12" t="s">
        <v>194</v>
      </c>
      <c r="K13" s="12" t="s">
        <v>52</v>
      </c>
    </row>
    <row r="14" customFormat="false" ht="15.75" hidden="false" customHeight="true" outlineLevel="0" collapsed="false">
      <c r="A14" s="19" t="n">
        <v>10</v>
      </c>
      <c r="B14" s="12" t="s">
        <v>62</v>
      </c>
      <c r="C14" s="12" t="n">
        <v>12</v>
      </c>
      <c r="D14" s="12" t="s">
        <v>50</v>
      </c>
      <c r="E14" s="12" t="s">
        <v>195</v>
      </c>
      <c r="F14" s="12" t="n">
        <v>5.48</v>
      </c>
      <c r="G14" s="12" t="s">
        <v>124</v>
      </c>
      <c r="H14" s="12" t="s">
        <v>192</v>
      </c>
      <c r="I14" s="12" t="s">
        <v>134</v>
      </c>
      <c r="J14" s="12" t="s">
        <v>194</v>
      </c>
      <c r="K14" s="12" t="s">
        <v>176</v>
      </c>
    </row>
    <row r="15" customFormat="false" ht="15.75" hidden="false" customHeight="true" outlineLevel="0" collapsed="false">
      <c r="A15" s="19" t="n">
        <v>11</v>
      </c>
      <c r="B15" s="12" t="s">
        <v>62</v>
      </c>
      <c r="C15" s="12" t="n">
        <v>24</v>
      </c>
      <c r="D15" s="12" t="s">
        <v>196</v>
      </c>
      <c r="E15" s="12" t="s">
        <v>191</v>
      </c>
      <c r="F15" s="12" t="n">
        <v>5.4</v>
      </c>
      <c r="G15" s="12" t="s">
        <v>124</v>
      </c>
      <c r="H15" s="12" t="s">
        <v>192</v>
      </c>
      <c r="I15" s="12" t="s">
        <v>134</v>
      </c>
      <c r="J15" s="12" t="s">
        <v>124</v>
      </c>
      <c r="K15" s="12" t="s">
        <v>52</v>
      </c>
    </row>
    <row r="16" customFormat="false" ht="15.75" hidden="false" customHeight="true" outlineLevel="0" collapsed="false">
      <c r="A16" s="19" t="n">
        <v>12</v>
      </c>
      <c r="B16" s="12" t="s">
        <v>62</v>
      </c>
      <c r="C16" s="12" t="n">
        <v>30</v>
      </c>
      <c r="D16" s="12" t="s">
        <v>196</v>
      </c>
      <c r="E16" s="12" t="s">
        <v>193</v>
      </c>
      <c r="F16" s="12" t="n">
        <v>5.3</v>
      </c>
      <c r="G16" s="12" t="s">
        <v>124</v>
      </c>
      <c r="H16" s="12" t="s">
        <v>192</v>
      </c>
      <c r="I16" s="12" t="s">
        <v>134</v>
      </c>
      <c r="J16" s="12" t="s">
        <v>194</v>
      </c>
      <c r="K16" s="12" t="s">
        <v>52</v>
      </c>
    </row>
    <row r="17" customFormat="false" ht="15.75" hidden="false" customHeight="true" outlineLevel="0" collapsed="false">
      <c r="A17" s="19" t="n">
        <v>13</v>
      </c>
      <c r="B17" s="12" t="s">
        <v>62</v>
      </c>
      <c r="C17" s="12" t="n">
        <v>36</v>
      </c>
      <c r="D17" s="12" t="s">
        <v>196</v>
      </c>
      <c r="E17" s="12" t="s">
        <v>195</v>
      </c>
      <c r="F17" s="12" t="n">
        <v>5.2</v>
      </c>
      <c r="G17" s="12" t="s">
        <v>124</v>
      </c>
      <c r="H17" s="12" t="s">
        <v>192</v>
      </c>
      <c r="I17" s="12" t="s">
        <v>134</v>
      </c>
      <c r="J17" s="12" t="s">
        <v>194</v>
      </c>
      <c r="K17" s="12" t="s">
        <v>176</v>
      </c>
    </row>
    <row r="18" customFormat="false" ht="15.75" hidden="false" customHeight="true" outlineLevel="0" collapsed="false">
      <c r="A18" s="19" t="n">
        <v>14</v>
      </c>
      <c r="B18" s="12" t="s">
        <v>62</v>
      </c>
      <c r="C18" s="12" t="n">
        <v>48</v>
      </c>
      <c r="D18" s="12" t="s">
        <v>197</v>
      </c>
      <c r="E18" s="12" t="s">
        <v>191</v>
      </c>
      <c r="F18" s="12" t="n">
        <v>5.12</v>
      </c>
      <c r="G18" s="12" t="s">
        <v>124</v>
      </c>
      <c r="H18" s="12" t="s">
        <v>192</v>
      </c>
      <c r="I18" s="12" t="s">
        <v>134</v>
      </c>
      <c r="J18" s="12" t="s">
        <v>124</v>
      </c>
      <c r="K18" s="12" t="s">
        <v>52</v>
      </c>
    </row>
    <row r="19" customFormat="false" ht="15.75" hidden="false" customHeight="true" outlineLevel="0" collapsed="false">
      <c r="A19" s="19"/>
      <c r="B19" s="12"/>
      <c r="C19" s="12"/>
      <c r="D19" s="12"/>
      <c r="E19" s="12"/>
      <c r="F19" s="12"/>
      <c r="G19" s="12"/>
      <c r="H19" s="12"/>
      <c r="I19" s="12"/>
      <c r="J19" s="12"/>
      <c r="K19" s="12"/>
    </row>
    <row r="20" customFormat="false" ht="15.75" hidden="false" customHeight="true" outlineLevel="0" collapsed="false">
      <c r="A20" s="19"/>
      <c r="B20" s="12"/>
      <c r="C20" s="12"/>
      <c r="D20" s="12"/>
      <c r="E20" s="12"/>
      <c r="F20" s="12"/>
      <c r="G20" s="12"/>
      <c r="H20" s="12"/>
      <c r="I20" s="12"/>
      <c r="J20" s="12"/>
      <c r="K20" s="12"/>
    </row>
    <row r="21" customFormat="false" ht="15.75" hidden="false" customHeight="true" outlineLevel="0" collapsed="false">
      <c r="A21" s="19"/>
      <c r="B21" s="12"/>
      <c r="C21" s="12"/>
      <c r="D21" s="12"/>
      <c r="E21" s="12"/>
      <c r="F21" s="12"/>
      <c r="G21" s="12"/>
      <c r="H21" s="12"/>
      <c r="I21" s="12"/>
      <c r="J21" s="12"/>
      <c r="K21" s="12"/>
    </row>
    <row r="22" customFormat="false" ht="15.75" hidden="false" customHeight="true" outlineLevel="0" collapsed="false">
      <c r="A22" s="19"/>
      <c r="B22" s="12"/>
      <c r="C22" s="12"/>
      <c r="D22" s="12"/>
      <c r="E22" s="12"/>
      <c r="F22" s="12"/>
      <c r="G22" s="12"/>
      <c r="H22" s="12"/>
      <c r="I22" s="12"/>
      <c r="J22" s="12"/>
      <c r="K22" s="12"/>
    </row>
    <row r="23" customFormat="false" ht="15.75" hidden="false" customHeight="true" outlineLevel="0" collapsed="false">
      <c r="A23" s="19"/>
      <c r="B23" s="12"/>
      <c r="C23" s="12"/>
      <c r="D23" s="12"/>
      <c r="E23" s="12"/>
      <c r="F23" s="12"/>
      <c r="G23" s="12"/>
      <c r="H23" s="12"/>
      <c r="I23" s="12"/>
      <c r="J23" s="12"/>
      <c r="K23" s="12"/>
    </row>
    <row r="24" customFormat="false" ht="15.75" hidden="false" customHeight="true" outlineLevel="0" collapsed="false">
      <c r="A24" s="19"/>
      <c r="B24" s="12"/>
      <c r="C24" s="12"/>
      <c r="D24" s="12"/>
      <c r="E24" s="12"/>
      <c r="F24" s="12"/>
      <c r="G24" s="12"/>
      <c r="H24" s="12"/>
      <c r="I24" s="12"/>
      <c r="J24" s="12"/>
      <c r="K24" s="12"/>
    </row>
    <row r="25" customFormat="false" ht="15.75" hidden="false" customHeight="true" outlineLevel="0" collapsed="false">
      <c r="A25" s="19"/>
      <c r="B25" s="12"/>
      <c r="C25" s="12"/>
      <c r="D25" s="12"/>
      <c r="E25" s="12"/>
      <c r="F25" s="12"/>
      <c r="G25" s="12"/>
      <c r="H25" s="12"/>
      <c r="I25" s="12"/>
      <c r="J25" s="12"/>
      <c r="K25" s="12"/>
    </row>
    <row r="26" customFormat="false" ht="15.75" hidden="false" customHeight="true" outlineLevel="0" collapsed="false">
      <c r="A26" s="19"/>
      <c r="B26" s="12"/>
      <c r="C26" s="12"/>
      <c r="D26" s="12"/>
      <c r="E26" s="12"/>
      <c r="F26" s="12"/>
      <c r="G26" s="12"/>
      <c r="H26" s="12"/>
      <c r="I26" s="12"/>
      <c r="J26" s="12"/>
      <c r="K26" s="12"/>
    </row>
    <row r="27" customFormat="false" ht="15.75" hidden="false" customHeight="true" outlineLevel="0" collapsed="false">
      <c r="A27" s="19"/>
      <c r="B27" s="12"/>
      <c r="C27" s="12"/>
      <c r="D27" s="12"/>
      <c r="E27" s="12"/>
      <c r="F27" s="12"/>
      <c r="G27" s="12"/>
      <c r="H27" s="12"/>
      <c r="I27" s="12"/>
      <c r="J27" s="12"/>
      <c r="K27" s="12"/>
    </row>
    <row r="28" customFormat="false" ht="15.75" hidden="false" customHeight="true" outlineLevel="0" collapsed="false">
      <c r="A28" s="19"/>
      <c r="B28" s="12"/>
      <c r="C28" s="12"/>
      <c r="D28" s="12"/>
      <c r="E28" s="12"/>
      <c r="F28" s="12"/>
      <c r="G28" s="12"/>
      <c r="H28" s="12"/>
      <c r="I28" s="12"/>
      <c r="J28" s="12"/>
      <c r="K28" s="12"/>
    </row>
    <row r="29" customFormat="false" ht="15.75" hidden="false" customHeight="true" outlineLevel="0" collapsed="false">
      <c r="A29" s="19"/>
      <c r="B29" s="12"/>
      <c r="C29" s="12"/>
      <c r="D29" s="12"/>
      <c r="E29" s="12"/>
      <c r="F29" s="12"/>
      <c r="G29" s="12"/>
      <c r="H29" s="12"/>
      <c r="I29" s="12"/>
      <c r="J29" s="12"/>
      <c r="K29" s="12"/>
    </row>
    <row r="30" customFormat="false" ht="15.75" hidden="false" customHeight="true" outlineLevel="0" collapsed="false">
      <c r="A30" s="19"/>
      <c r="B30" s="12"/>
      <c r="C30" s="12"/>
      <c r="D30" s="12"/>
      <c r="E30" s="12"/>
      <c r="F30" s="12"/>
      <c r="G30" s="12"/>
      <c r="H30" s="12"/>
      <c r="I30" s="12"/>
      <c r="J30" s="12"/>
      <c r="K30" s="12"/>
    </row>
    <row r="31" customFormat="false" ht="15.75" hidden="false" customHeight="true" outlineLevel="0" collapsed="false">
      <c r="A31" s="19"/>
      <c r="B31" s="12"/>
      <c r="C31" s="12"/>
      <c r="D31" s="12"/>
      <c r="E31" s="12"/>
      <c r="F31" s="12"/>
      <c r="G31" s="12"/>
      <c r="H31" s="12"/>
      <c r="I31" s="12"/>
      <c r="J31" s="12"/>
      <c r="K31" s="12"/>
    </row>
    <row r="32" customFormat="false" ht="15.75" hidden="false" customHeight="true" outlineLevel="0" collapsed="false">
      <c r="A32" s="19"/>
      <c r="B32" s="12"/>
      <c r="C32" s="12"/>
      <c r="D32" s="12"/>
      <c r="E32" s="12"/>
      <c r="F32" s="12"/>
      <c r="G32" s="12"/>
      <c r="H32" s="12"/>
      <c r="I32" s="12"/>
      <c r="J32" s="12"/>
      <c r="K32" s="12"/>
    </row>
    <row r="33" customFormat="false" ht="15.75" hidden="false" customHeight="true" outlineLevel="0" collapsed="false">
      <c r="A33" s="19"/>
      <c r="B33" s="12"/>
      <c r="C33" s="12"/>
      <c r="D33" s="12"/>
      <c r="E33" s="12"/>
      <c r="F33" s="12"/>
      <c r="G33" s="12"/>
      <c r="H33" s="12"/>
      <c r="I33" s="12"/>
      <c r="J33" s="12"/>
      <c r="K33" s="12"/>
    </row>
    <row r="34" customFormat="false" ht="15.75" hidden="false" customHeight="true" outlineLevel="0" collapsed="false">
      <c r="A34" s="19"/>
      <c r="B34" s="12"/>
      <c r="C34" s="12"/>
      <c r="D34" s="12"/>
      <c r="E34" s="12"/>
      <c r="F34" s="12"/>
      <c r="G34" s="12"/>
      <c r="H34" s="12"/>
      <c r="I34" s="12"/>
      <c r="J34" s="12"/>
      <c r="K34" s="12"/>
    </row>
    <row r="35" customFormat="false" ht="15.75" hidden="false" customHeight="true" outlineLevel="0" collapsed="false">
      <c r="A35" s="19"/>
      <c r="B35" s="12"/>
      <c r="C35" s="12"/>
      <c r="D35" s="12"/>
      <c r="E35" s="12"/>
      <c r="F35" s="12"/>
      <c r="G35" s="12"/>
      <c r="H35" s="12"/>
      <c r="I35" s="12"/>
      <c r="J35" s="12"/>
      <c r="K35" s="12"/>
    </row>
    <row r="36" customFormat="false" ht="15.75" hidden="false" customHeight="true" outlineLevel="0" collapsed="false">
      <c r="A36" s="19"/>
      <c r="B36" s="12"/>
      <c r="C36" s="12"/>
      <c r="D36" s="12"/>
      <c r="E36" s="12"/>
      <c r="F36" s="12"/>
      <c r="G36" s="12"/>
      <c r="H36" s="12"/>
      <c r="I36" s="12"/>
      <c r="J36" s="12"/>
      <c r="K36" s="12"/>
    </row>
    <row r="37" customFormat="false" ht="15.75" hidden="false" customHeight="true" outlineLevel="0" collapsed="false">
      <c r="A37" s="19"/>
      <c r="B37" s="12"/>
      <c r="C37" s="12"/>
      <c r="D37" s="12"/>
      <c r="E37" s="12"/>
      <c r="F37" s="12"/>
      <c r="G37" s="12"/>
      <c r="H37" s="12"/>
      <c r="I37" s="12"/>
      <c r="J37" s="12"/>
      <c r="K37" s="12"/>
    </row>
    <row r="38" customFormat="false" ht="15.75" hidden="false" customHeight="true" outlineLevel="0" collapsed="false">
      <c r="A38" s="19"/>
      <c r="B38" s="12"/>
      <c r="C38" s="12"/>
      <c r="D38" s="12"/>
      <c r="E38" s="12"/>
      <c r="F38" s="12"/>
      <c r="G38" s="12"/>
      <c r="H38" s="12"/>
      <c r="I38" s="12"/>
      <c r="J38" s="12"/>
      <c r="K38" s="12"/>
    </row>
    <row r="39" customFormat="false" ht="15.75" hidden="false" customHeight="true" outlineLevel="0" collapsed="false">
      <c r="A39" s="19"/>
      <c r="B39" s="12"/>
      <c r="C39" s="12"/>
      <c r="D39" s="12"/>
      <c r="E39" s="12"/>
      <c r="F39" s="12"/>
      <c r="G39" s="12"/>
      <c r="H39" s="12"/>
      <c r="I39" s="12"/>
      <c r="J39" s="12"/>
      <c r="K39" s="12"/>
    </row>
    <row r="40" customFormat="false" ht="15.75" hidden="false" customHeight="true" outlineLevel="0" collapsed="false">
      <c r="A40" s="19"/>
      <c r="B40" s="12"/>
      <c r="C40" s="12"/>
      <c r="D40" s="12"/>
      <c r="E40" s="12"/>
      <c r="F40" s="12"/>
      <c r="G40" s="12"/>
      <c r="H40" s="12"/>
      <c r="I40" s="12"/>
      <c r="J40" s="12"/>
      <c r="K40" s="12"/>
    </row>
    <row r="41" customFormat="false" ht="15.75" hidden="false" customHeight="true" outlineLevel="0" collapsed="false">
      <c r="A41" s="19"/>
      <c r="B41" s="12"/>
      <c r="C41" s="12"/>
      <c r="D41" s="12"/>
      <c r="E41" s="12"/>
      <c r="F41" s="12"/>
      <c r="G41" s="12"/>
      <c r="H41" s="12"/>
      <c r="I41" s="12"/>
      <c r="J41" s="12"/>
      <c r="K41" s="12"/>
    </row>
    <row r="42" customFormat="false" ht="15.75" hidden="false" customHeight="true" outlineLevel="0" collapsed="false">
      <c r="A42" s="19"/>
      <c r="B42" s="12"/>
      <c r="C42" s="12"/>
      <c r="D42" s="12"/>
      <c r="E42" s="12"/>
      <c r="F42" s="12"/>
      <c r="G42" s="12"/>
      <c r="H42" s="12"/>
      <c r="I42" s="12"/>
      <c r="J42" s="12"/>
      <c r="K42" s="12"/>
    </row>
    <row r="43" customFormat="false" ht="15.75" hidden="false" customHeight="true" outlineLevel="0" collapsed="false">
      <c r="A43" s="19"/>
      <c r="B43" s="12"/>
      <c r="C43" s="12"/>
      <c r="D43" s="12"/>
      <c r="E43" s="12"/>
      <c r="F43" s="12"/>
      <c r="G43" s="12"/>
      <c r="H43" s="12"/>
      <c r="I43" s="12"/>
      <c r="J43" s="12"/>
      <c r="K43" s="12"/>
    </row>
    <row r="44" customFormat="false" ht="15.75" hidden="false" customHeight="true" outlineLevel="0" collapsed="false">
      <c r="A44" s="19"/>
      <c r="B44" s="12"/>
      <c r="C44" s="12"/>
      <c r="D44" s="12"/>
      <c r="E44" s="12"/>
      <c r="F44" s="12"/>
      <c r="G44" s="12"/>
      <c r="H44" s="12"/>
      <c r="I44" s="12"/>
      <c r="J44" s="12"/>
      <c r="K44" s="12"/>
    </row>
  </sheetData>
  <mergeCells count="1">
    <mergeCell ref="A1:K1"/>
  </mergeCells>
  <dataValidations count="2">
    <dataValidation allowBlank="true" errorStyle="stop" operator="between" showDropDown="false" showErrorMessage="false" showInputMessage="false" sqref="H5:I44" type="list">
      <formula1>"Y,N"</formula1>
      <formula2>0</formula2>
    </dataValidation>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6" activeCellId="0" sqref="E26"/>
    </sheetView>
  </sheetViews>
  <sheetFormatPr defaultColWidth="8.5703125" defaultRowHeight="15" zeroHeight="false" outlineLevelRow="0" outlineLevelCol="0"/>
  <cols>
    <col collapsed="false" customWidth="true" hidden="false" outlineLevel="0" max="1" min="1" style="1" width="28.42"/>
    <col collapsed="false" customWidth="true" hidden="false" outlineLevel="0" max="2" min="2" style="1" width="24"/>
    <col collapsed="false" customWidth="true" hidden="false" outlineLevel="0" max="3" min="3" style="1" width="21.43"/>
    <col collapsed="false" customWidth="true" hidden="false" outlineLevel="0" max="4" min="4" style="1" width="4"/>
    <col collapsed="false" customWidth="true" hidden="false" outlineLevel="0" max="5" min="5" style="1" width="27.15"/>
    <col collapsed="false" customWidth="true" hidden="false" outlineLevel="0" max="6" min="6" style="1" width="31.29"/>
    <col collapsed="false" customWidth="true" hidden="false" outlineLevel="0" max="7" min="7" style="1" width="21.43"/>
  </cols>
  <sheetData>
    <row r="1" customFormat="false" ht="19.5" hidden="false" customHeight="true" outlineLevel="0" collapsed="false">
      <c r="A1" s="10" t="s">
        <v>198</v>
      </c>
      <c r="B1" s="10"/>
      <c r="C1" s="10"/>
      <c r="D1" s="10"/>
      <c r="E1" s="10"/>
      <c r="F1" s="10"/>
      <c r="G1" s="10"/>
    </row>
    <row r="2" customFormat="false" ht="13.5" hidden="false" customHeight="true" outlineLevel="0" collapsed="false">
      <c r="A2" s="3" t="s">
        <v>199</v>
      </c>
    </row>
    <row r="4" customFormat="false" ht="15" hidden="false" customHeight="true" outlineLevel="0" collapsed="false">
      <c r="A4" s="15" t="s">
        <v>200</v>
      </c>
      <c r="B4" s="16"/>
      <c r="C4" s="16"/>
      <c r="E4" s="15" t="s">
        <v>201</v>
      </c>
      <c r="F4" s="16"/>
      <c r="G4" s="16"/>
    </row>
    <row r="5" customFormat="false" ht="15" hidden="false" customHeight="true" outlineLevel="0" collapsed="false">
      <c r="A5" s="26" t="s">
        <v>202</v>
      </c>
      <c r="B5" s="26" t="s">
        <v>203</v>
      </c>
      <c r="C5" s="26" t="s">
        <v>204</v>
      </c>
      <c r="E5" s="26" t="s">
        <v>202</v>
      </c>
      <c r="F5" s="26" t="s">
        <v>203</v>
      </c>
      <c r="G5" s="26" t="s">
        <v>204</v>
      </c>
    </row>
    <row r="6" customFormat="false" ht="15.75" hidden="false" customHeight="true" outlineLevel="0" collapsed="false">
      <c r="A6" s="19" t="s">
        <v>205</v>
      </c>
      <c r="B6" s="12"/>
      <c r="C6" s="12"/>
      <c r="E6" s="19" t="s">
        <v>205</v>
      </c>
      <c r="F6" s="12" t="s">
        <v>124</v>
      </c>
      <c r="G6" s="12" t="s">
        <v>124</v>
      </c>
    </row>
    <row r="7" customFormat="false" ht="15.75" hidden="false" customHeight="true" outlineLevel="0" collapsed="false">
      <c r="A7" s="19" t="s">
        <v>206</v>
      </c>
      <c r="B7" s="12"/>
      <c r="C7" s="12"/>
      <c r="E7" s="19" t="s">
        <v>206</v>
      </c>
      <c r="F7" s="12" t="s">
        <v>124</v>
      </c>
      <c r="G7" s="12" t="s">
        <v>124</v>
      </c>
    </row>
    <row r="8" customFormat="false" ht="15.75" hidden="false" customHeight="true" outlineLevel="0" collapsed="false">
      <c r="A8" s="19" t="s">
        <v>207</v>
      </c>
      <c r="B8" s="12"/>
      <c r="C8" s="12"/>
      <c r="E8" s="19" t="s">
        <v>207</v>
      </c>
      <c r="F8" s="12" t="s">
        <v>124</v>
      </c>
      <c r="G8" s="12" t="s">
        <v>124</v>
      </c>
    </row>
    <row r="9" customFormat="false" ht="15.75" hidden="false" customHeight="true" outlineLevel="0" collapsed="false">
      <c r="A9" s="19" t="s">
        <v>208</v>
      </c>
      <c r="B9" s="12"/>
      <c r="C9" s="12"/>
      <c r="E9" s="19" t="s">
        <v>208</v>
      </c>
      <c r="F9" s="12" t="s">
        <v>124</v>
      </c>
      <c r="G9" s="12" t="s">
        <v>124</v>
      </c>
    </row>
    <row r="10" customFormat="false" ht="15.75" hidden="false" customHeight="true" outlineLevel="0" collapsed="false">
      <c r="A10" s="19" t="s">
        <v>209</v>
      </c>
      <c r="B10" s="12"/>
      <c r="C10" s="12"/>
      <c r="E10" s="19" t="s">
        <v>209</v>
      </c>
      <c r="F10" s="12" t="s">
        <v>124</v>
      </c>
      <c r="G10" s="12" t="s">
        <v>124</v>
      </c>
    </row>
    <row r="11" customFormat="false" ht="15.75" hidden="false" customHeight="true" outlineLevel="0" collapsed="false">
      <c r="A11" s="19" t="s">
        <v>210</v>
      </c>
      <c r="B11" s="12"/>
      <c r="C11" s="12"/>
      <c r="E11" s="19" t="s">
        <v>210</v>
      </c>
      <c r="F11" s="12" t="s">
        <v>124</v>
      </c>
      <c r="G11" s="12" t="s">
        <v>124</v>
      </c>
    </row>
    <row r="12" customFormat="false" ht="15.75" hidden="false" customHeight="true" outlineLevel="0" collapsed="false">
      <c r="A12" s="19" t="s">
        <v>211</v>
      </c>
      <c r="B12" s="12"/>
      <c r="C12" s="12"/>
      <c r="E12" s="19" t="s">
        <v>211</v>
      </c>
      <c r="F12" s="12" t="s">
        <v>124</v>
      </c>
      <c r="G12" s="12" t="s">
        <v>124</v>
      </c>
    </row>
    <row r="13" customFormat="false" ht="15.75" hidden="false" customHeight="true" outlineLevel="0" collapsed="false">
      <c r="A13" s="19" t="s">
        <v>212</v>
      </c>
      <c r="B13" s="12"/>
      <c r="C13" s="12"/>
      <c r="E13" s="19" t="s">
        <v>212</v>
      </c>
      <c r="F13" s="12" t="s">
        <v>124</v>
      </c>
      <c r="G13" s="12" t="s">
        <v>124</v>
      </c>
    </row>
    <row r="15" customFormat="false" ht="15.75" hidden="false" customHeight="true" outlineLevel="0" collapsed="false">
      <c r="A15" s="27" t="s">
        <v>213</v>
      </c>
      <c r="B15" s="28" t="str">
        <f aca="false">IFERROR(SLOPE(C6:C13,B6:B13),"")</f>
        <v/>
      </c>
      <c r="E15" s="27" t="s">
        <v>213</v>
      </c>
      <c r="F15" s="12" t="s">
        <v>124</v>
      </c>
      <c r="G15" s="12"/>
    </row>
    <row r="16" customFormat="false" ht="15.75" hidden="false" customHeight="true" outlineLevel="0" collapsed="false">
      <c r="A16" s="27" t="s">
        <v>214</v>
      </c>
      <c r="B16" s="28" t="str">
        <f aca="false">IFERROR(INTERCEPT(C6:C13,B6:B13),"")</f>
        <v/>
      </c>
      <c r="E16" s="27" t="s">
        <v>214</v>
      </c>
      <c r="F16" s="12" t="s">
        <v>124</v>
      </c>
    </row>
    <row r="17" customFormat="false" ht="15.75" hidden="false" customHeight="true" outlineLevel="0" collapsed="false">
      <c r="A17" s="27" t="s">
        <v>215</v>
      </c>
      <c r="B17" s="29" t="str">
        <f aca="false">IFERROR(RSQ(C6:C13,B6:B13),"")</f>
        <v/>
      </c>
      <c r="E17" s="27" t="s">
        <v>215</v>
      </c>
      <c r="F17" s="12" t="s">
        <v>124</v>
      </c>
    </row>
    <row r="19" customFormat="false" ht="18.75" hidden="false" customHeight="true" outlineLevel="0" collapsed="false">
      <c r="A19" s="4" t="s">
        <v>216</v>
      </c>
      <c r="B19" s="30" t="s">
        <v>124</v>
      </c>
      <c r="E19" s="4" t="s">
        <v>216</v>
      </c>
      <c r="F19" s="12" t="s">
        <v>124</v>
      </c>
    </row>
    <row r="20" customFormat="false" ht="18.75" hidden="false" customHeight="true" outlineLevel="0" collapsed="false">
      <c r="A20" s="4" t="s">
        <v>51</v>
      </c>
      <c r="B20" s="11" t="s">
        <v>124</v>
      </c>
      <c r="E20" s="4" t="s">
        <v>51</v>
      </c>
      <c r="F20" s="12" t="s">
        <v>124</v>
      </c>
    </row>
    <row r="21" customFormat="false" ht="18.75" hidden="false" customHeight="true" outlineLevel="0" collapsed="false">
      <c r="A21" s="4" t="s">
        <v>217</v>
      </c>
      <c r="B21" s="11" t="s">
        <v>124</v>
      </c>
      <c r="E21" s="4" t="s">
        <v>217</v>
      </c>
      <c r="F21" s="12" t="s">
        <v>124</v>
      </c>
    </row>
    <row r="23" customFormat="false" ht="42" hidden="false" customHeight="true" outlineLevel="0" collapsed="false">
      <c r="A23" s="31" t="s">
        <v>218</v>
      </c>
      <c r="B23" s="31"/>
      <c r="C23" s="31"/>
      <c r="E23" s="31" t="s">
        <v>219</v>
      </c>
      <c r="F23" s="31"/>
      <c r="G23" s="31"/>
    </row>
  </sheetData>
  <mergeCells count="3">
    <mergeCell ref="A1:G1"/>
    <mergeCell ref="A23:C23"/>
    <mergeCell ref="E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A2" activeCellId="0" sqref="A2"/>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
    <col collapsed="false" customWidth="true" hidden="false" outlineLevel="0" max="6" min="6" style="1" width="14"/>
    <col collapsed="false" customWidth="true" hidden="false" outlineLevel="0" max="7" min="7" style="1" width="12"/>
    <col collapsed="false" customWidth="true" hidden="false" outlineLevel="0" max="8" min="8" style="1" width="13"/>
    <col collapsed="false" customWidth="true" hidden="false" outlineLevel="0" max="9" min="9" style="1" width="15"/>
    <col collapsed="false" customWidth="true" hidden="false" outlineLevel="0" max="10" min="10" style="1" width="13"/>
    <col collapsed="false" customWidth="true" hidden="false" outlineLevel="0" max="13" min="11" style="1" width="11"/>
    <col collapsed="false" customWidth="true" hidden="false" outlineLevel="0" max="14" min="14" style="1" width="24"/>
    <col collapsed="false" customWidth="true" hidden="false" outlineLevel="0" max="15" min="15" style="1" width="16"/>
    <col collapsed="false" customWidth="true" hidden="false" outlineLevel="0" max="16" min="16" style="1" width="12.57"/>
  </cols>
  <sheetData>
    <row r="1" customFormat="false" ht="19.5" hidden="false" customHeight="true" outlineLevel="0" collapsed="false">
      <c r="A1" s="10" t="s">
        <v>220</v>
      </c>
      <c r="B1" s="10"/>
      <c r="C1" s="10"/>
      <c r="D1" s="10"/>
      <c r="E1" s="10"/>
      <c r="F1" s="10"/>
      <c r="G1" s="10"/>
      <c r="H1" s="10"/>
      <c r="I1" s="10"/>
      <c r="J1" s="10"/>
      <c r="K1" s="10"/>
      <c r="L1" s="10"/>
      <c r="M1" s="10"/>
      <c r="N1" s="10"/>
      <c r="O1" s="10"/>
      <c r="P1" s="10"/>
    </row>
    <row r="2" customFormat="false" ht="13.5" hidden="false" customHeight="true" outlineLevel="0" collapsed="false">
      <c r="A2" s="3"/>
    </row>
    <row r="4" customFormat="false" ht="30" hidden="false" customHeight="true" outlineLevel="0" collapsed="false">
      <c r="A4" s="18" t="s">
        <v>55</v>
      </c>
      <c r="B4" s="18" t="s">
        <v>56</v>
      </c>
      <c r="C4" s="18" t="s">
        <v>187</v>
      </c>
      <c r="D4" s="18" t="s">
        <v>188</v>
      </c>
      <c r="E4" s="18" t="s">
        <v>221</v>
      </c>
      <c r="F4" s="18" t="s">
        <v>222</v>
      </c>
      <c r="G4" s="18" t="s">
        <v>223</v>
      </c>
      <c r="H4" s="18" t="s">
        <v>224</v>
      </c>
      <c r="I4" s="18" t="s">
        <v>225</v>
      </c>
      <c r="J4" s="18" t="s">
        <v>226</v>
      </c>
      <c r="K4" s="18" t="s">
        <v>227</v>
      </c>
      <c r="L4" s="18" t="s">
        <v>228</v>
      </c>
      <c r="M4" s="18" t="s">
        <v>229</v>
      </c>
      <c r="N4" s="18" t="s">
        <v>154</v>
      </c>
      <c r="O4" s="18" t="s">
        <v>155</v>
      </c>
      <c r="P4" s="18" t="s">
        <v>230</v>
      </c>
    </row>
    <row r="5" customFormat="false" ht="15.75" hidden="false" customHeight="true" outlineLevel="0" collapsed="false">
      <c r="A5" s="19"/>
      <c r="B5" s="12"/>
      <c r="C5" s="12"/>
      <c r="D5" s="12"/>
      <c r="E5" s="12"/>
      <c r="F5" s="12"/>
      <c r="G5" s="12"/>
      <c r="H5" s="12"/>
      <c r="I5" s="12"/>
      <c r="J5" s="12"/>
      <c r="K5" s="12"/>
      <c r="L5" s="12"/>
      <c r="M5" s="12"/>
      <c r="N5" s="12"/>
      <c r="O5" s="12"/>
      <c r="P5" s="32" t="str">
        <f aca="false">IF(B5="","",B5&amp;"|"&amp;C5)</f>
        <v/>
      </c>
    </row>
    <row r="6" customFormat="false" ht="15.75" hidden="false" customHeight="true" outlineLevel="0" collapsed="false">
      <c r="A6" s="19"/>
      <c r="B6" s="12"/>
      <c r="C6" s="12"/>
      <c r="D6" s="12"/>
      <c r="E6" s="12"/>
      <c r="F6" s="12"/>
      <c r="G6" s="12"/>
      <c r="H6" s="12"/>
      <c r="I6" s="12"/>
      <c r="J6" s="12"/>
      <c r="K6" s="12"/>
      <c r="L6" s="12"/>
      <c r="M6" s="12"/>
      <c r="N6" s="12"/>
      <c r="O6" s="12"/>
      <c r="P6" s="32" t="str">
        <f aca="false">IF(B6="","",B6&amp;"|"&amp;C6)</f>
        <v/>
      </c>
    </row>
    <row r="7" customFormat="false" ht="15.75" hidden="false" customHeight="true" outlineLevel="0" collapsed="false">
      <c r="A7" s="19"/>
      <c r="B7" s="12"/>
      <c r="C7" s="12"/>
      <c r="D7" s="12"/>
      <c r="E7" s="12"/>
      <c r="F7" s="12"/>
      <c r="G7" s="12"/>
      <c r="H7" s="12"/>
      <c r="I7" s="12"/>
      <c r="J7" s="12"/>
      <c r="K7" s="12"/>
      <c r="L7" s="12"/>
      <c r="M7" s="12"/>
      <c r="N7" s="12"/>
      <c r="O7" s="12"/>
      <c r="P7" s="32" t="str">
        <f aca="false">IF(B7="","",B7&amp;"|"&amp;C7)</f>
        <v/>
      </c>
    </row>
    <row r="8" customFormat="false" ht="15.75" hidden="false" customHeight="true" outlineLevel="0" collapsed="false">
      <c r="A8" s="19"/>
      <c r="B8" s="12"/>
      <c r="C8" s="12"/>
      <c r="D8" s="12"/>
      <c r="E8" s="12"/>
      <c r="F8" s="12"/>
      <c r="G8" s="12"/>
      <c r="H8" s="12"/>
      <c r="I8" s="12"/>
      <c r="J8" s="12"/>
      <c r="K8" s="12"/>
      <c r="L8" s="12"/>
      <c r="M8" s="12"/>
      <c r="N8" s="12"/>
      <c r="O8" s="12"/>
      <c r="P8" s="32" t="str">
        <f aca="false">IF(B8="","",B8&amp;"|"&amp;C8)</f>
        <v/>
      </c>
    </row>
    <row r="9" customFormat="false" ht="15.75" hidden="false" customHeight="true" outlineLevel="0" collapsed="false">
      <c r="A9" s="19"/>
      <c r="B9" s="12"/>
      <c r="C9" s="12"/>
      <c r="D9" s="12"/>
      <c r="E9" s="12"/>
      <c r="F9" s="12"/>
      <c r="G9" s="12"/>
      <c r="H9" s="12"/>
      <c r="I9" s="12"/>
      <c r="J9" s="12"/>
      <c r="K9" s="12"/>
      <c r="L9" s="12"/>
      <c r="M9" s="12"/>
      <c r="N9" s="12"/>
      <c r="O9" s="12"/>
      <c r="P9" s="32" t="str">
        <f aca="false">IF(B9="","",B9&amp;"|"&amp;C9)</f>
        <v/>
      </c>
    </row>
    <row r="10" customFormat="false" ht="15.75" hidden="false" customHeight="true" outlineLevel="0" collapsed="false">
      <c r="A10" s="19"/>
      <c r="B10" s="12"/>
      <c r="C10" s="12"/>
      <c r="D10" s="12"/>
      <c r="E10" s="12"/>
      <c r="F10" s="12"/>
      <c r="G10" s="12"/>
      <c r="H10" s="12"/>
      <c r="I10" s="12"/>
      <c r="J10" s="12"/>
      <c r="K10" s="12"/>
      <c r="L10" s="12"/>
      <c r="M10" s="12"/>
      <c r="N10" s="12"/>
      <c r="O10" s="12"/>
      <c r="P10" s="32" t="str">
        <f aca="false">IF(B10="","",B10&amp;"|"&amp;C10)</f>
        <v/>
      </c>
    </row>
    <row r="11" customFormat="false" ht="15.75" hidden="false" customHeight="true" outlineLevel="0" collapsed="false">
      <c r="A11" s="19"/>
      <c r="B11" s="12"/>
      <c r="C11" s="12"/>
      <c r="D11" s="12"/>
      <c r="E11" s="12"/>
      <c r="F11" s="12"/>
      <c r="G11" s="12"/>
      <c r="H11" s="12"/>
      <c r="I11" s="12"/>
      <c r="J11" s="12"/>
      <c r="K11" s="12"/>
      <c r="L11" s="12"/>
      <c r="M11" s="12"/>
      <c r="N11" s="12"/>
      <c r="O11" s="12"/>
      <c r="P11" s="32" t="str">
        <f aca="false">IF(B11="","",B11&amp;"|"&amp;C11)</f>
        <v/>
      </c>
    </row>
    <row r="12" customFormat="false" ht="15.75" hidden="false" customHeight="true" outlineLevel="0" collapsed="false">
      <c r="A12" s="19"/>
      <c r="B12" s="12"/>
      <c r="C12" s="12"/>
      <c r="D12" s="12"/>
      <c r="E12" s="12"/>
      <c r="F12" s="12"/>
      <c r="G12" s="12"/>
      <c r="H12" s="12"/>
      <c r="I12" s="12"/>
      <c r="J12" s="12"/>
      <c r="K12" s="12"/>
      <c r="L12" s="12"/>
      <c r="M12" s="12"/>
      <c r="N12" s="12"/>
      <c r="O12" s="12"/>
      <c r="P12" s="32" t="str">
        <f aca="false">IF(B12="","",B12&amp;"|"&amp;C12)</f>
        <v/>
      </c>
    </row>
    <row r="13" customFormat="false" ht="15.75" hidden="false" customHeight="true" outlineLevel="0" collapsed="false">
      <c r="A13" s="19"/>
      <c r="B13" s="12"/>
      <c r="C13" s="12"/>
      <c r="D13" s="12"/>
      <c r="E13" s="12"/>
      <c r="F13" s="12"/>
      <c r="G13" s="12"/>
      <c r="H13" s="12"/>
      <c r="I13" s="12"/>
      <c r="J13" s="12"/>
      <c r="K13" s="12"/>
      <c r="L13" s="12"/>
      <c r="M13" s="12"/>
      <c r="N13" s="12"/>
      <c r="O13" s="12"/>
      <c r="P13" s="32" t="str">
        <f aca="false">IF(B13="","",B13&amp;"|"&amp;C13)</f>
        <v/>
      </c>
    </row>
    <row r="14" customFormat="false" ht="15.75" hidden="false" customHeight="true" outlineLevel="0" collapsed="false">
      <c r="A14" s="19"/>
      <c r="B14" s="12"/>
      <c r="C14" s="12"/>
      <c r="D14" s="12"/>
      <c r="E14" s="12"/>
      <c r="F14" s="12"/>
      <c r="G14" s="12"/>
      <c r="H14" s="12"/>
      <c r="I14" s="12"/>
      <c r="J14" s="12"/>
      <c r="K14" s="12"/>
      <c r="L14" s="12"/>
      <c r="M14" s="12"/>
      <c r="N14" s="12"/>
      <c r="O14" s="12"/>
      <c r="P14" s="32" t="str">
        <f aca="false">IF(B14="","",B14&amp;"|"&amp;C14)</f>
        <v/>
      </c>
    </row>
    <row r="15" customFormat="false" ht="15.75" hidden="false" customHeight="true" outlineLevel="0" collapsed="false">
      <c r="A15" s="19"/>
      <c r="B15" s="12"/>
      <c r="C15" s="12"/>
      <c r="D15" s="12"/>
      <c r="E15" s="12"/>
      <c r="F15" s="12"/>
      <c r="G15" s="12"/>
      <c r="H15" s="12"/>
      <c r="I15" s="12"/>
      <c r="J15" s="12"/>
      <c r="K15" s="12"/>
      <c r="L15" s="12"/>
      <c r="M15" s="12"/>
      <c r="N15" s="12"/>
      <c r="O15" s="12"/>
      <c r="P15" s="32" t="str">
        <f aca="false">IF(B15="","",B15&amp;"|"&amp;C15)</f>
        <v/>
      </c>
    </row>
    <row r="16" customFormat="false" ht="15.75" hidden="false" customHeight="true" outlineLevel="0" collapsed="false">
      <c r="A16" s="19"/>
      <c r="B16" s="12"/>
      <c r="C16" s="12"/>
      <c r="D16" s="12"/>
      <c r="E16" s="12"/>
      <c r="F16" s="12"/>
      <c r="G16" s="12"/>
      <c r="H16" s="12"/>
      <c r="I16" s="12"/>
      <c r="J16" s="12"/>
      <c r="K16" s="12"/>
      <c r="L16" s="12"/>
      <c r="M16" s="12"/>
      <c r="N16" s="12"/>
      <c r="O16" s="12"/>
      <c r="P16" s="32" t="str">
        <f aca="false">IF(B16="","",B16&amp;"|"&amp;C16)</f>
        <v/>
      </c>
    </row>
    <row r="17" customFormat="false" ht="15.75" hidden="false" customHeight="true" outlineLevel="0" collapsed="false">
      <c r="A17" s="19"/>
      <c r="B17" s="12"/>
      <c r="C17" s="12"/>
      <c r="D17" s="12"/>
      <c r="E17" s="12"/>
      <c r="F17" s="12"/>
      <c r="G17" s="12"/>
      <c r="H17" s="12"/>
      <c r="I17" s="12"/>
      <c r="J17" s="12"/>
      <c r="K17" s="12"/>
      <c r="L17" s="12"/>
      <c r="M17" s="12"/>
      <c r="N17" s="12"/>
      <c r="O17" s="12"/>
      <c r="P17" s="32" t="str">
        <f aca="false">IF(B17="","",B17&amp;"|"&amp;C17)</f>
        <v/>
      </c>
    </row>
    <row r="18" customFormat="false" ht="15.75" hidden="false" customHeight="true" outlineLevel="0" collapsed="false">
      <c r="A18" s="19"/>
      <c r="B18" s="12"/>
      <c r="C18" s="12"/>
      <c r="D18" s="12"/>
      <c r="E18" s="12"/>
      <c r="F18" s="12"/>
      <c r="G18" s="12"/>
      <c r="H18" s="12"/>
      <c r="I18" s="12"/>
      <c r="J18" s="12"/>
      <c r="K18" s="12"/>
      <c r="L18" s="12"/>
      <c r="M18" s="12"/>
      <c r="N18" s="12"/>
      <c r="O18" s="12"/>
      <c r="P18" s="32" t="str">
        <f aca="false">IF(B18="","",B18&amp;"|"&amp;C18)</f>
        <v/>
      </c>
    </row>
    <row r="19" customFormat="false" ht="15.75" hidden="false" customHeight="true" outlineLevel="0" collapsed="false">
      <c r="A19" s="19"/>
      <c r="B19" s="12"/>
      <c r="C19" s="12"/>
      <c r="D19" s="12"/>
      <c r="E19" s="12"/>
      <c r="F19" s="12"/>
      <c r="G19" s="12"/>
      <c r="H19" s="12"/>
      <c r="I19" s="12"/>
      <c r="J19" s="12"/>
      <c r="K19" s="12"/>
      <c r="L19" s="12"/>
      <c r="M19" s="12"/>
      <c r="N19" s="12"/>
      <c r="O19" s="12"/>
      <c r="P19" s="32" t="str">
        <f aca="false">IF(B19="","",B19&amp;"|"&amp;C19)</f>
        <v/>
      </c>
    </row>
    <row r="20" customFormat="false" ht="15.75" hidden="false" customHeight="true" outlineLevel="0" collapsed="false">
      <c r="A20" s="19"/>
      <c r="B20" s="12"/>
      <c r="C20" s="12"/>
      <c r="D20" s="12"/>
      <c r="E20" s="12"/>
      <c r="F20" s="12"/>
      <c r="G20" s="12"/>
      <c r="H20" s="12"/>
      <c r="I20" s="12"/>
      <c r="J20" s="12"/>
      <c r="K20" s="12"/>
      <c r="L20" s="12"/>
      <c r="M20" s="12"/>
      <c r="N20" s="12"/>
      <c r="O20" s="12"/>
      <c r="P20" s="32" t="str">
        <f aca="false">IF(B20="","",B20&amp;"|"&amp;C20)</f>
        <v/>
      </c>
    </row>
    <row r="21" customFormat="false" ht="15.75" hidden="false" customHeight="true" outlineLevel="0" collapsed="false">
      <c r="A21" s="19"/>
      <c r="B21" s="12"/>
      <c r="C21" s="12"/>
      <c r="D21" s="12"/>
      <c r="E21" s="12"/>
      <c r="F21" s="12"/>
      <c r="G21" s="12"/>
      <c r="H21" s="12"/>
      <c r="I21" s="12"/>
      <c r="J21" s="12"/>
      <c r="K21" s="12"/>
      <c r="L21" s="12"/>
      <c r="M21" s="12"/>
      <c r="N21" s="12"/>
      <c r="O21" s="12"/>
      <c r="P21" s="32" t="str">
        <f aca="false">IF(B21="","",B21&amp;"|"&amp;C21)</f>
        <v/>
      </c>
    </row>
    <row r="22" customFormat="false" ht="15.75" hidden="false" customHeight="true" outlineLevel="0" collapsed="false">
      <c r="A22" s="19"/>
      <c r="B22" s="12"/>
      <c r="C22" s="12"/>
      <c r="D22" s="12"/>
      <c r="E22" s="12"/>
      <c r="F22" s="12"/>
      <c r="G22" s="12"/>
      <c r="H22" s="12"/>
      <c r="I22" s="12"/>
      <c r="J22" s="12"/>
      <c r="K22" s="12"/>
      <c r="L22" s="12"/>
      <c r="M22" s="12"/>
      <c r="N22" s="12"/>
      <c r="O22" s="12"/>
      <c r="P22" s="32" t="str">
        <f aca="false">IF(B22="","",B22&amp;"|"&amp;C22)</f>
        <v/>
      </c>
    </row>
    <row r="23" customFormat="false" ht="15.75" hidden="false" customHeight="true" outlineLevel="0" collapsed="false">
      <c r="A23" s="19"/>
      <c r="B23" s="12"/>
      <c r="C23" s="12"/>
      <c r="D23" s="12"/>
      <c r="E23" s="12"/>
      <c r="F23" s="12"/>
      <c r="G23" s="12"/>
      <c r="H23" s="12"/>
      <c r="I23" s="12"/>
      <c r="J23" s="12"/>
      <c r="K23" s="12"/>
      <c r="L23" s="12"/>
      <c r="M23" s="12"/>
      <c r="N23" s="12"/>
      <c r="O23" s="12"/>
      <c r="P23" s="32" t="str">
        <f aca="false">IF(B23="","",B23&amp;"|"&amp;C23)</f>
        <v/>
      </c>
    </row>
    <row r="24" customFormat="false" ht="15.75" hidden="false" customHeight="true" outlineLevel="0" collapsed="false">
      <c r="A24" s="19"/>
      <c r="B24" s="12"/>
      <c r="C24" s="12"/>
      <c r="D24" s="12"/>
      <c r="E24" s="12"/>
      <c r="F24" s="12"/>
      <c r="G24" s="12"/>
      <c r="H24" s="12"/>
      <c r="I24" s="12"/>
      <c r="J24" s="12"/>
      <c r="K24" s="12"/>
      <c r="L24" s="12"/>
      <c r="M24" s="12"/>
      <c r="N24" s="12"/>
      <c r="O24" s="12"/>
      <c r="P24" s="32" t="str">
        <f aca="false">IF(B24="","",B24&amp;"|"&amp;C24)</f>
        <v/>
      </c>
    </row>
    <row r="25" customFormat="false" ht="15.75" hidden="false" customHeight="true" outlineLevel="0" collapsed="false">
      <c r="A25" s="19"/>
      <c r="B25" s="12"/>
      <c r="C25" s="12"/>
      <c r="D25" s="12"/>
      <c r="E25" s="12"/>
      <c r="F25" s="12"/>
      <c r="G25" s="12"/>
      <c r="H25" s="12"/>
      <c r="I25" s="12"/>
      <c r="J25" s="12"/>
      <c r="K25" s="12"/>
      <c r="L25" s="12"/>
      <c r="M25" s="12"/>
      <c r="N25" s="12"/>
      <c r="O25" s="12"/>
      <c r="P25" s="32" t="str">
        <f aca="false">IF(B25="","",B25&amp;"|"&amp;C25)</f>
        <v/>
      </c>
    </row>
    <row r="26" customFormat="false" ht="15.75" hidden="false" customHeight="true" outlineLevel="0" collapsed="false">
      <c r="A26" s="19"/>
      <c r="B26" s="12"/>
      <c r="C26" s="12"/>
      <c r="D26" s="12"/>
      <c r="E26" s="12"/>
      <c r="F26" s="12"/>
      <c r="G26" s="12"/>
      <c r="H26" s="12"/>
      <c r="I26" s="12"/>
      <c r="J26" s="12"/>
      <c r="K26" s="12"/>
      <c r="L26" s="12"/>
      <c r="M26" s="12"/>
      <c r="N26" s="12"/>
      <c r="O26" s="12"/>
      <c r="P26" s="32" t="str">
        <f aca="false">IF(B26="","",B26&amp;"|"&amp;C26)</f>
        <v/>
      </c>
    </row>
    <row r="27" customFormat="false" ht="15.75" hidden="false" customHeight="true" outlineLevel="0" collapsed="false">
      <c r="A27" s="19"/>
      <c r="B27" s="12"/>
      <c r="C27" s="12"/>
      <c r="D27" s="12"/>
      <c r="E27" s="12"/>
      <c r="F27" s="12"/>
      <c r="G27" s="12"/>
      <c r="H27" s="12"/>
      <c r="I27" s="12"/>
      <c r="J27" s="12"/>
      <c r="K27" s="12"/>
      <c r="L27" s="12"/>
      <c r="M27" s="12"/>
      <c r="N27" s="12"/>
      <c r="O27" s="12"/>
      <c r="P27" s="32" t="str">
        <f aca="false">IF(B27="","",B27&amp;"|"&amp;C27)</f>
        <v/>
      </c>
    </row>
    <row r="28" customFormat="false" ht="15.75" hidden="false" customHeight="true" outlineLevel="0" collapsed="false">
      <c r="A28" s="19"/>
      <c r="B28" s="12"/>
      <c r="C28" s="12"/>
      <c r="D28" s="12"/>
      <c r="E28" s="12"/>
      <c r="F28" s="12"/>
      <c r="G28" s="12"/>
      <c r="H28" s="12"/>
      <c r="I28" s="12"/>
      <c r="J28" s="12"/>
      <c r="K28" s="12"/>
      <c r="L28" s="12"/>
      <c r="M28" s="12"/>
      <c r="N28" s="12"/>
      <c r="O28" s="12"/>
      <c r="P28" s="32" t="str">
        <f aca="false">IF(B28="","",B28&amp;"|"&amp;C28)</f>
        <v/>
      </c>
    </row>
    <row r="29" customFormat="false" ht="15.75" hidden="false" customHeight="true" outlineLevel="0" collapsed="false">
      <c r="A29" s="19"/>
      <c r="B29" s="12"/>
      <c r="C29" s="12"/>
      <c r="D29" s="12"/>
      <c r="E29" s="12"/>
      <c r="F29" s="12"/>
      <c r="G29" s="12"/>
      <c r="H29" s="12"/>
      <c r="I29" s="12"/>
      <c r="J29" s="12"/>
      <c r="K29" s="12"/>
      <c r="L29" s="12"/>
      <c r="M29" s="12"/>
      <c r="N29" s="12"/>
      <c r="O29" s="12"/>
      <c r="P29" s="32" t="str">
        <f aca="false">IF(B29="","",B29&amp;"|"&amp;C29)</f>
        <v/>
      </c>
    </row>
    <row r="30" customFormat="false" ht="15.75" hidden="false" customHeight="true" outlineLevel="0" collapsed="false">
      <c r="A30" s="19"/>
      <c r="B30" s="12"/>
      <c r="C30" s="12"/>
      <c r="D30" s="12"/>
      <c r="E30" s="12"/>
      <c r="F30" s="12"/>
      <c r="G30" s="12"/>
      <c r="H30" s="12"/>
      <c r="I30" s="12"/>
      <c r="J30" s="12"/>
      <c r="K30" s="12"/>
      <c r="L30" s="12"/>
      <c r="M30" s="12"/>
      <c r="N30" s="12"/>
      <c r="O30" s="12"/>
      <c r="P30" s="32" t="str">
        <f aca="false">IF(B30="","",B30&amp;"|"&amp;C30)</f>
        <v/>
      </c>
    </row>
    <row r="31" customFormat="false" ht="15.75" hidden="false" customHeight="true" outlineLevel="0" collapsed="false">
      <c r="A31" s="19"/>
      <c r="B31" s="12"/>
      <c r="C31" s="12"/>
      <c r="D31" s="12"/>
      <c r="E31" s="12"/>
      <c r="F31" s="12"/>
      <c r="G31" s="12"/>
      <c r="H31" s="12"/>
      <c r="I31" s="12"/>
      <c r="J31" s="12"/>
      <c r="K31" s="12"/>
      <c r="L31" s="12"/>
      <c r="M31" s="12"/>
      <c r="N31" s="12"/>
      <c r="O31" s="12"/>
      <c r="P31" s="32" t="str">
        <f aca="false">IF(B31="","",B31&amp;"|"&amp;C31)</f>
        <v/>
      </c>
    </row>
    <row r="32" customFormat="false" ht="15.75" hidden="false" customHeight="true" outlineLevel="0" collapsed="false">
      <c r="A32" s="19"/>
      <c r="B32" s="12"/>
      <c r="C32" s="12"/>
      <c r="D32" s="12"/>
      <c r="E32" s="12"/>
      <c r="F32" s="12"/>
      <c r="G32" s="12"/>
      <c r="H32" s="12"/>
      <c r="I32" s="12"/>
      <c r="J32" s="12"/>
      <c r="K32" s="12"/>
      <c r="L32" s="12"/>
      <c r="M32" s="12"/>
      <c r="N32" s="12"/>
      <c r="O32" s="12"/>
      <c r="P32" s="32" t="str">
        <f aca="false">IF(B32="","",B32&amp;"|"&amp;C32)</f>
        <v/>
      </c>
    </row>
    <row r="33" customFormat="false" ht="15.75" hidden="false" customHeight="true" outlineLevel="0" collapsed="false">
      <c r="A33" s="19"/>
      <c r="B33" s="12"/>
      <c r="C33" s="12"/>
      <c r="D33" s="12"/>
      <c r="E33" s="12"/>
      <c r="F33" s="12"/>
      <c r="G33" s="12"/>
      <c r="H33" s="12"/>
      <c r="I33" s="12"/>
      <c r="J33" s="12"/>
      <c r="K33" s="12"/>
      <c r="L33" s="12"/>
      <c r="M33" s="12"/>
      <c r="N33" s="12"/>
      <c r="O33" s="12"/>
      <c r="P33" s="32" t="str">
        <f aca="false">IF(B33="","",B33&amp;"|"&amp;C33)</f>
        <v/>
      </c>
    </row>
    <row r="34" customFormat="false" ht="15.75" hidden="false" customHeight="true" outlineLevel="0" collapsed="false">
      <c r="A34" s="19"/>
      <c r="B34" s="12"/>
      <c r="C34" s="12"/>
      <c r="D34" s="12"/>
      <c r="E34" s="12"/>
      <c r="F34" s="12"/>
      <c r="G34" s="12"/>
      <c r="H34" s="12"/>
      <c r="I34" s="12"/>
      <c r="J34" s="12"/>
      <c r="K34" s="12"/>
      <c r="L34" s="12"/>
      <c r="M34" s="12"/>
      <c r="N34" s="12"/>
      <c r="O34" s="12"/>
      <c r="P34" s="32" t="str">
        <f aca="false">IF(B34="","",B34&amp;"|"&amp;C34)</f>
        <v/>
      </c>
    </row>
    <row r="35" customFormat="false" ht="15.75" hidden="false" customHeight="true" outlineLevel="0" collapsed="false">
      <c r="A35" s="19"/>
      <c r="B35" s="12"/>
      <c r="C35" s="12"/>
      <c r="D35" s="12"/>
      <c r="E35" s="12"/>
      <c r="F35" s="12"/>
      <c r="G35" s="12"/>
      <c r="H35" s="12"/>
      <c r="I35" s="12"/>
      <c r="J35" s="12"/>
      <c r="K35" s="12"/>
      <c r="L35" s="12"/>
      <c r="M35" s="12"/>
      <c r="N35" s="12"/>
      <c r="O35" s="12"/>
      <c r="P35" s="32" t="str">
        <f aca="false">IF(B35="","",B35&amp;"|"&amp;C35)</f>
        <v/>
      </c>
    </row>
    <row r="36" customFormat="false" ht="15.75" hidden="false" customHeight="true" outlineLevel="0" collapsed="false">
      <c r="A36" s="19"/>
      <c r="B36" s="12"/>
      <c r="C36" s="12"/>
      <c r="D36" s="12"/>
      <c r="E36" s="12"/>
      <c r="F36" s="12"/>
      <c r="G36" s="12"/>
      <c r="H36" s="12"/>
      <c r="I36" s="12"/>
      <c r="J36" s="12"/>
      <c r="K36" s="12"/>
      <c r="L36" s="12"/>
      <c r="M36" s="12"/>
      <c r="N36" s="12"/>
      <c r="O36" s="12"/>
      <c r="P36" s="32" t="str">
        <f aca="false">IF(B36="","",B36&amp;"|"&amp;C36)</f>
        <v/>
      </c>
    </row>
    <row r="37" customFormat="false" ht="15.75" hidden="false" customHeight="true" outlineLevel="0" collapsed="false">
      <c r="A37" s="19"/>
      <c r="B37" s="12"/>
      <c r="C37" s="12"/>
      <c r="D37" s="12"/>
      <c r="E37" s="12"/>
      <c r="F37" s="12"/>
      <c r="G37" s="12"/>
      <c r="H37" s="12"/>
      <c r="I37" s="12"/>
      <c r="J37" s="12"/>
      <c r="K37" s="12"/>
      <c r="L37" s="12"/>
      <c r="M37" s="12"/>
      <c r="N37" s="12"/>
      <c r="O37" s="12"/>
      <c r="P37" s="32" t="str">
        <f aca="false">IF(B37="","",B37&amp;"|"&amp;C37)</f>
        <v/>
      </c>
    </row>
    <row r="38" customFormat="false" ht="15.75" hidden="false" customHeight="true" outlineLevel="0" collapsed="false">
      <c r="A38" s="19"/>
      <c r="B38" s="12"/>
      <c r="C38" s="12"/>
      <c r="D38" s="12"/>
      <c r="E38" s="12"/>
      <c r="F38" s="12"/>
      <c r="G38" s="12"/>
      <c r="H38" s="12"/>
      <c r="I38" s="12"/>
      <c r="J38" s="12"/>
      <c r="K38" s="12"/>
      <c r="L38" s="12"/>
      <c r="M38" s="12"/>
      <c r="N38" s="12"/>
      <c r="O38" s="12"/>
      <c r="P38" s="32" t="str">
        <f aca="false">IF(B38="","",B38&amp;"|"&amp;C38)</f>
        <v/>
      </c>
    </row>
    <row r="39" customFormat="false" ht="15.75" hidden="false" customHeight="true" outlineLevel="0" collapsed="false">
      <c r="A39" s="19"/>
      <c r="B39" s="12"/>
      <c r="C39" s="12"/>
      <c r="D39" s="12"/>
      <c r="E39" s="12"/>
      <c r="F39" s="12"/>
      <c r="G39" s="12"/>
      <c r="H39" s="12"/>
      <c r="I39" s="12"/>
      <c r="J39" s="12"/>
      <c r="K39" s="12"/>
      <c r="L39" s="12"/>
      <c r="M39" s="12"/>
      <c r="N39" s="12"/>
      <c r="O39" s="12"/>
      <c r="P39" s="32" t="str">
        <f aca="false">IF(B39="","",B39&amp;"|"&amp;C39)</f>
        <v/>
      </c>
    </row>
    <row r="40" customFormat="false" ht="15.75" hidden="false" customHeight="true" outlineLevel="0" collapsed="false">
      <c r="A40" s="19"/>
      <c r="B40" s="12"/>
      <c r="C40" s="12"/>
      <c r="D40" s="12"/>
      <c r="E40" s="12"/>
      <c r="F40" s="12"/>
      <c r="G40" s="12"/>
      <c r="H40" s="12"/>
      <c r="I40" s="12"/>
      <c r="J40" s="12"/>
      <c r="K40" s="12"/>
      <c r="L40" s="12"/>
      <c r="M40" s="12"/>
      <c r="N40" s="12"/>
      <c r="O40" s="12"/>
      <c r="P40" s="32" t="str">
        <f aca="false">IF(B40="","",B40&amp;"|"&amp;C40)</f>
        <v/>
      </c>
    </row>
    <row r="41" customFormat="false" ht="15.75" hidden="false" customHeight="true" outlineLevel="0" collapsed="false">
      <c r="A41" s="19"/>
      <c r="B41" s="12"/>
      <c r="C41" s="12"/>
      <c r="D41" s="12"/>
      <c r="E41" s="12"/>
      <c r="F41" s="12"/>
      <c r="G41" s="12"/>
      <c r="H41" s="12"/>
      <c r="I41" s="12"/>
      <c r="J41" s="12"/>
      <c r="K41" s="12"/>
      <c r="L41" s="12"/>
      <c r="M41" s="12"/>
      <c r="N41" s="12"/>
      <c r="O41" s="12"/>
      <c r="P41" s="32" t="str">
        <f aca="false">IF(B41="","",B41&amp;"|"&amp;C41)</f>
        <v/>
      </c>
    </row>
    <row r="42" customFormat="false" ht="15.75" hidden="false" customHeight="true" outlineLevel="0" collapsed="false">
      <c r="A42" s="19"/>
      <c r="B42" s="12"/>
      <c r="C42" s="12"/>
      <c r="D42" s="12"/>
      <c r="E42" s="12"/>
      <c r="F42" s="12"/>
      <c r="G42" s="12"/>
      <c r="H42" s="12"/>
      <c r="I42" s="12"/>
      <c r="J42" s="12"/>
      <c r="K42" s="12"/>
      <c r="L42" s="12"/>
      <c r="M42" s="12"/>
      <c r="N42" s="12"/>
      <c r="O42" s="12"/>
      <c r="P42" s="32" t="str">
        <f aca="false">IF(B42="","",B42&amp;"|"&amp;C42)</f>
        <v/>
      </c>
    </row>
    <row r="43" customFormat="false" ht="15.75" hidden="false" customHeight="true" outlineLevel="0" collapsed="false">
      <c r="A43" s="19"/>
      <c r="B43" s="12"/>
      <c r="C43" s="12"/>
      <c r="D43" s="12"/>
      <c r="E43" s="12"/>
      <c r="F43" s="12"/>
      <c r="G43" s="12"/>
      <c r="H43" s="12"/>
      <c r="I43" s="12"/>
      <c r="J43" s="12"/>
      <c r="K43" s="12"/>
      <c r="L43" s="12"/>
      <c r="M43" s="12"/>
      <c r="N43" s="12"/>
      <c r="O43" s="12"/>
      <c r="P43" s="32" t="str">
        <f aca="false">IF(B43="","",B43&amp;"|"&amp;C43)</f>
        <v/>
      </c>
    </row>
    <row r="44" customFormat="false" ht="15.75" hidden="false" customHeight="true" outlineLevel="0" collapsed="false">
      <c r="A44" s="19"/>
      <c r="B44" s="12"/>
      <c r="C44" s="12"/>
      <c r="D44" s="12"/>
      <c r="E44" s="12"/>
      <c r="F44" s="12"/>
      <c r="G44" s="12"/>
      <c r="H44" s="12"/>
      <c r="I44" s="12"/>
      <c r="J44" s="12"/>
      <c r="K44" s="12"/>
      <c r="L44" s="12"/>
      <c r="M44" s="12"/>
      <c r="N44" s="12"/>
      <c r="O44" s="12"/>
      <c r="P44" s="32" t="str">
        <f aca="false">IF(B44="","",B44&amp;"|"&amp;C44)</f>
        <v/>
      </c>
    </row>
    <row r="46" customFormat="false" ht="25.5" hidden="false" customHeight="true" outlineLevel="0" collapsed="false">
      <c r="A46" s="17"/>
    </row>
  </sheetData>
  <mergeCells count="1">
    <mergeCell ref="A1:P1"/>
  </mergeCells>
  <dataValidations count="1">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3" min="2" style="1" width="12"/>
    <col collapsed="false" customWidth="true" hidden="false" outlineLevel="0" max="4" min="4" style="1" width="18"/>
    <col collapsed="false" customWidth="true" hidden="false" outlineLevel="0" max="6" min="5" style="1" width="10"/>
    <col collapsed="false" customWidth="true" hidden="false" outlineLevel="0" max="7" min="7" style="1" width="15"/>
    <col collapsed="false" customWidth="true" hidden="false" outlineLevel="0" max="10" min="8" style="1" width="16"/>
    <col collapsed="false" customWidth="true" hidden="false" outlineLevel="0" max="11" min="11" style="1" width="20"/>
    <col collapsed="false" customWidth="true" hidden="false" outlineLevel="0" max="12" min="12" style="1" width="18"/>
    <col collapsed="false" customWidth="true" hidden="false" outlineLevel="0" max="13" min="13" style="1" width="24"/>
  </cols>
  <sheetData>
    <row r="1" customFormat="false" ht="19.5" hidden="false" customHeight="true" outlineLevel="0" collapsed="false">
      <c r="A1" s="10" t="s">
        <v>231</v>
      </c>
      <c r="B1" s="10"/>
      <c r="C1" s="10"/>
      <c r="D1" s="10"/>
      <c r="E1" s="10"/>
      <c r="F1" s="10"/>
      <c r="G1" s="10"/>
      <c r="H1" s="10"/>
      <c r="I1" s="10"/>
      <c r="J1" s="10"/>
      <c r="K1" s="10"/>
      <c r="L1" s="10"/>
      <c r="M1" s="10"/>
    </row>
    <row r="2" customFormat="false" ht="13.5" hidden="false" customHeight="true" outlineLevel="0" collapsed="false">
      <c r="A2" s="3" t="s">
        <v>232</v>
      </c>
    </row>
    <row r="4" customFormat="false" ht="30" hidden="false" customHeight="true" outlineLevel="0" collapsed="false">
      <c r="A4" s="18" t="s">
        <v>55</v>
      </c>
      <c r="B4" s="18" t="s">
        <v>56</v>
      </c>
      <c r="C4" s="18" t="s">
        <v>233</v>
      </c>
      <c r="D4" s="18" t="s">
        <v>234</v>
      </c>
      <c r="E4" s="18" t="s">
        <v>235</v>
      </c>
      <c r="F4" s="18" t="s">
        <v>236</v>
      </c>
      <c r="G4" s="18" t="s">
        <v>237</v>
      </c>
      <c r="H4" s="18" t="s">
        <v>238</v>
      </c>
      <c r="I4" s="18" t="s">
        <v>239</v>
      </c>
      <c r="J4" s="18" t="s">
        <v>240</v>
      </c>
      <c r="K4" s="18" t="s">
        <v>241</v>
      </c>
      <c r="L4" s="18" t="s">
        <v>242</v>
      </c>
      <c r="M4" s="18" t="s">
        <v>243</v>
      </c>
    </row>
    <row r="5" customFormat="false" ht="15.75" hidden="false" customHeight="true" outlineLevel="0" collapsed="false">
      <c r="A5" s="19" t="n">
        <v>1</v>
      </c>
      <c r="B5" s="12" t="s">
        <v>59</v>
      </c>
      <c r="C5" s="12" t="n">
        <v>48</v>
      </c>
      <c r="D5" s="12" t="s">
        <v>244</v>
      </c>
      <c r="E5" s="12" t="n">
        <v>5.12</v>
      </c>
      <c r="F5" s="12" t="s">
        <v>124</v>
      </c>
      <c r="G5" s="12" t="s">
        <v>124</v>
      </c>
      <c r="H5" s="12" t="n">
        <v>185</v>
      </c>
      <c r="I5" s="12" t="s">
        <v>134</v>
      </c>
      <c r="J5" s="12" t="s">
        <v>52</v>
      </c>
      <c r="K5" s="12" t="s">
        <v>245</v>
      </c>
      <c r="L5" s="12" t="s">
        <v>246</v>
      </c>
      <c r="M5" s="12" t="s">
        <v>247</v>
      </c>
    </row>
    <row r="6" customFormat="false" ht="15" hidden="false" customHeight="true" outlineLevel="0" collapsed="false">
      <c r="A6" s="1" t="n">
        <v>2</v>
      </c>
      <c r="B6" s="1" t="s">
        <v>62</v>
      </c>
      <c r="C6" s="1" t="n">
        <v>48</v>
      </c>
      <c r="D6" s="1" t="s">
        <v>244</v>
      </c>
      <c r="E6" s="1" t="n">
        <v>5.11</v>
      </c>
      <c r="F6" s="1" t="s">
        <v>124</v>
      </c>
      <c r="G6" s="1" t="s">
        <v>124</v>
      </c>
      <c r="H6" s="1" t="n">
        <v>185</v>
      </c>
      <c r="I6" s="1" t="s">
        <v>134</v>
      </c>
      <c r="J6" s="1" t="s">
        <v>52</v>
      </c>
      <c r="K6" s="1" t="s">
        <v>245</v>
      </c>
      <c r="L6" s="1" t="s">
        <v>246</v>
      </c>
      <c r="M6" s="1" t="s">
        <v>247</v>
      </c>
    </row>
  </sheetData>
  <mergeCells count="1">
    <mergeCell ref="A1:M1"/>
  </mergeCells>
  <dataValidations count="3">
    <dataValidation allowBlank="true" errorStyle="stop" operator="between" showDropDown="false" showErrorMessage="false" showInputMessage="false" sqref="I5" type="list">
      <formula1>"Y,N"</formula1>
      <formula2>0</formula2>
    </dataValidation>
    <dataValidation allowBlank="true" errorStyle="stop" operator="between" showDropDown="false" showErrorMessage="false" showInputMessage="false" sqref="K5" type="list">
      <formula1>"Processed now,Stored"</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H39" activeCellId="0" sqref="H39"/>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14.57"/>
    <col collapsed="false" customWidth="true" hidden="false" outlineLevel="0" max="5" min="4" style="1" width="15"/>
    <col collapsed="false" customWidth="true" hidden="false" outlineLevel="0" max="6" min="6" style="1" width="18"/>
    <col collapsed="false" customWidth="true" hidden="false" outlineLevel="0" max="8" min="7" style="1" width="13"/>
    <col collapsed="false" customWidth="true" hidden="false" outlineLevel="0" max="10" min="9" style="1" width="12"/>
    <col collapsed="false" customWidth="true" hidden="false" outlineLevel="0" max="11" min="11" style="1" width="16"/>
    <col collapsed="false" customWidth="true" hidden="false" outlineLevel="0" max="12" min="12" style="1" width="34.71"/>
  </cols>
  <sheetData>
    <row r="1" customFormat="false" ht="19.5" hidden="false" customHeight="true" outlineLevel="0" collapsed="false">
      <c r="A1" s="10" t="s">
        <v>248</v>
      </c>
      <c r="B1" s="10"/>
      <c r="C1" s="10"/>
      <c r="D1" s="10"/>
      <c r="E1" s="10"/>
      <c r="F1" s="10"/>
      <c r="G1" s="10"/>
      <c r="H1" s="10"/>
      <c r="I1" s="10"/>
      <c r="J1" s="10"/>
      <c r="K1" s="10"/>
      <c r="L1" s="10"/>
    </row>
    <row r="2" customFormat="false" ht="13.5" hidden="false" customHeight="true" outlineLevel="0" collapsed="false">
      <c r="A2" s="3" t="s">
        <v>249</v>
      </c>
    </row>
    <row r="4" customFormat="false" ht="30" hidden="false" customHeight="true" outlineLevel="0" collapsed="false">
      <c r="A4" s="18" t="s">
        <v>55</v>
      </c>
      <c r="B4" s="18" t="s">
        <v>56</v>
      </c>
      <c r="C4" s="18" t="s">
        <v>250</v>
      </c>
      <c r="D4" s="18" t="s">
        <v>251</v>
      </c>
      <c r="E4" s="18" t="s">
        <v>252</v>
      </c>
      <c r="F4" s="18" t="s">
        <v>253</v>
      </c>
      <c r="G4" s="18" t="s">
        <v>254</v>
      </c>
      <c r="H4" s="18" t="s">
        <v>255</v>
      </c>
      <c r="I4" s="18" t="s">
        <v>256</v>
      </c>
      <c r="J4" s="18" t="s">
        <v>257</v>
      </c>
      <c r="K4" s="18" t="s">
        <v>98</v>
      </c>
      <c r="L4" s="18" t="s">
        <v>154</v>
      </c>
    </row>
    <row r="5" customFormat="false" ht="15.75" hidden="false" customHeight="true" outlineLevel="0" collapsed="false">
      <c r="A5" s="19" t="n">
        <v>1</v>
      </c>
      <c r="B5" s="12" t="s">
        <v>59</v>
      </c>
      <c r="C5" s="12" t="n">
        <v>1</v>
      </c>
      <c r="D5" s="12" t="s">
        <v>258</v>
      </c>
      <c r="E5" s="12" t="s">
        <v>259</v>
      </c>
      <c r="F5" s="11" t="s">
        <v>260</v>
      </c>
      <c r="G5" s="12" t="n">
        <v>185</v>
      </c>
      <c r="H5" s="12" t="n">
        <v>110</v>
      </c>
      <c r="I5" s="22" t="s">
        <v>261</v>
      </c>
      <c r="J5" s="22" t="s">
        <v>262</v>
      </c>
      <c r="K5" s="12" t="s">
        <v>52</v>
      </c>
      <c r="L5" s="12" t="s">
        <v>263</v>
      </c>
    </row>
    <row r="6" customFormat="false" ht="15.75" hidden="false" customHeight="true" outlineLevel="0" collapsed="false">
      <c r="A6" s="19" t="n">
        <v>2</v>
      </c>
      <c r="B6" s="12" t="s">
        <v>59</v>
      </c>
      <c r="C6" s="12" t="n">
        <v>2</v>
      </c>
      <c r="D6" s="12" t="s">
        <v>264</v>
      </c>
      <c r="E6" s="12" t="s">
        <v>265</v>
      </c>
      <c r="F6" s="12" t="s">
        <v>266</v>
      </c>
      <c r="G6" s="12" t="s">
        <v>124</v>
      </c>
      <c r="H6" s="12" t="n">
        <v>4</v>
      </c>
      <c r="I6" s="22" t="s">
        <v>262</v>
      </c>
      <c r="J6" s="22" t="s">
        <v>191</v>
      </c>
      <c r="K6" s="12" t="s">
        <v>52</v>
      </c>
      <c r="L6" s="12" t="s">
        <v>267</v>
      </c>
    </row>
    <row r="7" customFormat="false" ht="15.75" hidden="false" customHeight="true" outlineLevel="0" collapsed="false">
      <c r="A7" s="19" t="n">
        <v>3</v>
      </c>
      <c r="B7" s="12" t="s">
        <v>62</v>
      </c>
      <c r="C7" s="12" t="n">
        <v>1</v>
      </c>
      <c r="D7" s="11" t="s">
        <v>258</v>
      </c>
      <c r="E7" s="12" t="s">
        <v>259</v>
      </c>
      <c r="F7" s="12" t="s">
        <v>260</v>
      </c>
      <c r="G7" s="12" t="n">
        <v>185</v>
      </c>
      <c r="H7" s="12" t="n">
        <v>110</v>
      </c>
      <c r="I7" s="22" t="s">
        <v>261</v>
      </c>
      <c r="J7" s="22" t="s">
        <v>262</v>
      </c>
      <c r="K7" s="12" t="s">
        <v>52</v>
      </c>
      <c r="L7" s="11" t="s">
        <v>263</v>
      </c>
      <c r="M7" s="33"/>
    </row>
    <row r="8" customFormat="false" ht="15.75" hidden="false" customHeight="true" outlineLevel="0" collapsed="false">
      <c r="A8" s="19" t="n">
        <v>4</v>
      </c>
      <c r="B8" s="12" t="s">
        <v>62</v>
      </c>
      <c r="C8" s="12" t="n">
        <v>2</v>
      </c>
      <c r="D8" s="11" t="s">
        <v>264</v>
      </c>
      <c r="E8" s="34" t="s">
        <v>265</v>
      </c>
      <c r="F8" s="12" t="s">
        <v>266</v>
      </c>
      <c r="G8" s="12" t="s">
        <v>124</v>
      </c>
      <c r="H8" s="12" t="n">
        <v>4</v>
      </c>
      <c r="I8" s="22" t="s">
        <v>262</v>
      </c>
      <c r="J8" s="22" t="s">
        <v>191</v>
      </c>
      <c r="K8" s="12" t="s">
        <v>52</v>
      </c>
      <c r="L8" s="12" t="s">
        <v>267</v>
      </c>
    </row>
    <row r="9" customFormat="false" ht="15.75" hidden="false" customHeight="true" outlineLevel="0" collapsed="false">
      <c r="A9" s="19"/>
      <c r="B9" s="12"/>
      <c r="C9" s="12"/>
      <c r="D9" s="12"/>
      <c r="E9" s="12"/>
      <c r="F9" s="12"/>
      <c r="G9" s="12"/>
      <c r="H9" s="12"/>
      <c r="I9" s="12"/>
      <c r="J9" s="12"/>
      <c r="K9" s="12"/>
      <c r="L9" s="12"/>
    </row>
    <row r="10" customFormat="false" ht="15.75" hidden="false" customHeight="true" outlineLevel="0" collapsed="false">
      <c r="A10" s="19"/>
      <c r="B10" s="12"/>
      <c r="C10" s="12"/>
      <c r="D10" s="12"/>
      <c r="E10" s="12"/>
      <c r="F10" s="12"/>
      <c r="G10" s="12"/>
      <c r="H10" s="12"/>
      <c r="I10" s="12"/>
      <c r="J10" s="12"/>
      <c r="K10" s="12"/>
      <c r="L10" s="12"/>
    </row>
    <row r="11" customFormat="false" ht="15.75" hidden="false" customHeight="true" outlineLevel="0" collapsed="false">
      <c r="A11" s="19"/>
      <c r="B11" s="12"/>
      <c r="C11" s="12"/>
      <c r="D11" s="12"/>
      <c r="E11" s="12"/>
      <c r="F11" s="12"/>
      <c r="G11" s="12"/>
      <c r="H11" s="12"/>
      <c r="I11" s="12"/>
      <c r="J11" s="12"/>
      <c r="K11" s="12"/>
      <c r="L11" s="12"/>
    </row>
    <row r="12" customFormat="false" ht="15.75" hidden="false" customHeight="true" outlineLevel="0" collapsed="false">
      <c r="A12" s="19"/>
      <c r="B12" s="12"/>
      <c r="C12" s="12"/>
      <c r="D12" s="12"/>
      <c r="E12" s="12"/>
      <c r="F12" s="12"/>
      <c r="G12" s="12"/>
      <c r="H12" s="12"/>
      <c r="I12" s="12"/>
      <c r="J12" s="12"/>
      <c r="K12" s="12"/>
      <c r="L12" s="12"/>
    </row>
    <row r="13" customFormat="false" ht="15.75" hidden="false" customHeight="true" outlineLevel="0" collapsed="false">
      <c r="A13" s="19"/>
      <c r="B13" s="12"/>
      <c r="C13" s="12"/>
      <c r="D13" s="12"/>
      <c r="E13" s="12"/>
      <c r="F13" s="12"/>
      <c r="G13" s="12"/>
      <c r="H13" s="12"/>
      <c r="I13" s="12"/>
      <c r="J13" s="12"/>
      <c r="K13" s="12"/>
      <c r="L13" s="12"/>
    </row>
    <row r="14" customFormat="false" ht="15.75" hidden="false" customHeight="true" outlineLevel="0" collapsed="false">
      <c r="A14" s="19"/>
      <c r="B14" s="12"/>
      <c r="C14" s="12"/>
      <c r="D14" s="12"/>
      <c r="E14" s="12"/>
      <c r="F14" s="12"/>
      <c r="G14" s="12"/>
      <c r="H14" s="12"/>
      <c r="I14" s="12"/>
      <c r="J14" s="12"/>
      <c r="K14" s="12"/>
      <c r="L14" s="12"/>
    </row>
    <row r="15" customFormat="false" ht="15.75" hidden="false" customHeight="true" outlineLevel="0" collapsed="false">
      <c r="A15" s="19"/>
      <c r="B15" s="12"/>
      <c r="C15" s="12"/>
      <c r="D15" s="12"/>
      <c r="E15" s="12"/>
      <c r="F15" s="12"/>
      <c r="G15" s="12"/>
      <c r="H15" s="12"/>
      <c r="I15" s="12"/>
      <c r="J15" s="12"/>
      <c r="K15" s="12"/>
      <c r="L15" s="12"/>
    </row>
    <row r="16" customFormat="false" ht="15.75" hidden="false" customHeight="true" outlineLevel="0" collapsed="false">
      <c r="A16" s="19"/>
      <c r="B16" s="12"/>
      <c r="C16" s="12"/>
      <c r="D16" s="12"/>
      <c r="E16" s="12"/>
      <c r="F16" s="12"/>
      <c r="G16" s="12"/>
      <c r="H16" s="12"/>
      <c r="I16" s="12"/>
      <c r="J16" s="12"/>
      <c r="K16" s="12"/>
      <c r="L16" s="12"/>
    </row>
    <row r="17" customFormat="false" ht="15.75" hidden="false" customHeight="true" outlineLevel="0" collapsed="false">
      <c r="A17" s="19"/>
      <c r="B17" s="12"/>
      <c r="C17" s="12"/>
      <c r="D17" s="12"/>
      <c r="E17" s="12"/>
      <c r="F17" s="12"/>
      <c r="G17" s="12"/>
      <c r="H17" s="12"/>
      <c r="I17" s="12"/>
      <c r="J17" s="12"/>
      <c r="K17" s="12"/>
      <c r="L17" s="12"/>
    </row>
    <row r="18" customFormat="false" ht="15.75" hidden="false" customHeight="true" outlineLevel="0" collapsed="false">
      <c r="A18" s="19"/>
      <c r="B18" s="12"/>
      <c r="C18" s="12"/>
      <c r="D18" s="12"/>
      <c r="E18" s="12"/>
      <c r="F18" s="12"/>
      <c r="G18" s="12"/>
      <c r="H18" s="12"/>
      <c r="I18" s="12"/>
      <c r="J18" s="12"/>
      <c r="K18" s="12"/>
      <c r="L18" s="12"/>
    </row>
    <row r="19" customFormat="false" ht="15.75" hidden="false" customHeight="true" outlineLevel="0" collapsed="false">
      <c r="A19" s="19"/>
      <c r="B19" s="12"/>
      <c r="C19" s="12"/>
      <c r="D19" s="12"/>
      <c r="E19" s="12"/>
      <c r="F19" s="12"/>
      <c r="G19" s="12"/>
      <c r="H19" s="12"/>
      <c r="I19" s="12"/>
      <c r="J19" s="12"/>
      <c r="K19" s="12"/>
      <c r="L19" s="12"/>
    </row>
    <row r="20" customFormat="false" ht="15.75" hidden="false" customHeight="true" outlineLevel="0" collapsed="false">
      <c r="A20" s="19"/>
      <c r="B20" s="12"/>
      <c r="C20" s="12"/>
      <c r="D20" s="12"/>
      <c r="E20" s="12"/>
      <c r="F20" s="12"/>
      <c r="G20" s="12"/>
      <c r="H20" s="12"/>
      <c r="I20" s="12"/>
      <c r="J20" s="12"/>
      <c r="K20" s="12"/>
      <c r="L20" s="12"/>
    </row>
    <row r="21" customFormat="false" ht="15.75" hidden="false" customHeight="true" outlineLevel="0" collapsed="false">
      <c r="A21" s="19"/>
      <c r="B21" s="12"/>
      <c r="C21" s="12"/>
      <c r="D21" s="12"/>
      <c r="E21" s="12"/>
      <c r="F21" s="12"/>
      <c r="G21" s="12"/>
      <c r="H21" s="12"/>
      <c r="I21" s="12"/>
      <c r="J21" s="12"/>
      <c r="K21" s="12"/>
      <c r="L21" s="12"/>
    </row>
    <row r="22" customFormat="false" ht="15.75" hidden="false" customHeight="true" outlineLevel="0" collapsed="false">
      <c r="A22" s="19"/>
      <c r="B22" s="12"/>
      <c r="C22" s="12"/>
      <c r="D22" s="12"/>
      <c r="E22" s="12"/>
      <c r="F22" s="12"/>
      <c r="G22" s="12"/>
      <c r="H22" s="12"/>
      <c r="I22" s="12"/>
      <c r="J22" s="12"/>
      <c r="K22" s="12"/>
      <c r="L22" s="12"/>
    </row>
    <row r="23" customFormat="false" ht="15.75" hidden="false" customHeight="true" outlineLevel="0" collapsed="false">
      <c r="A23" s="19"/>
      <c r="B23" s="12"/>
      <c r="C23" s="12"/>
      <c r="D23" s="12"/>
      <c r="E23" s="12"/>
      <c r="F23" s="12"/>
      <c r="G23" s="12"/>
      <c r="H23" s="12"/>
      <c r="I23" s="12"/>
      <c r="J23" s="12"/>
      <c r="K23" s="12"/>
      <c r="L23" s="12"/>
    </row>
    <row r="24" customFormat="false" ht="15.75" hidden="false" customHeight="true" outlineLevel="0" collapsed="false">
      <c r="A24" s="19"/>
      <c r="B24" s="12"/>
      <c r="C24" s="12"/>
      <c r="D24" s="12"/>
      <c r="E24" s="12"/>
      <c r="F24" s="12"/>
      <c r="G24" s="12"/>
      <c r="H24" s="12"/>
      <c r="I24" s="12"/>
      <c r="J24" s="12"/>
      <c r="K24" s="12"/>
      <c r="L24" s="12"/>
    </row>
    <row r="25" customFormat="false" ht="15.75" hidden="false" customHeight="true" outlineLevel="0" collapsed="false">
      <c r="A25" s="19"/>
      <c r="B25" s="12"/>
      <c r="C25" s="12"/>
      <c r="D25" s="12"/>
      <c r="E25" s="12"/>
      <c r="F25" s="12"/>
      <c r="G25" s="12"/>
      <c r="H25" s="12"/>
      <c r="I25" s="12"/>
      <c r="J25" s="12"/>
      <c r="K25" s="12"/>
      <c r="L25" s="12"/>
    </row>
    <row r="26" customFormat="false" ht="15.75" hidden="false" customHeight="true" outlineLevel="0" collapsed="false">
      <c r="A26" s="19"/>
      <c r="B26" s="12"/>
      <c r="C26" s="12"/>
      <c r="D26" s="12"/>
      <c r="E26" s="12"/>
      <c r="F26" s="12"/>
      <c r="G26" s="12"/>
      <c r="H26" s="12"/>
      <c r="I26" s="12"/>
      <c r="J26" s="12"/>
      <c r="K26" s="12"/>
      <c r="L26" s="12"/>
    </row>
    <row r="27" customFormat="false" ht="15.75" hidden="false" customHeight="true" outlineLevel="0" collapsed="false">
      <c r="A27" s="19"/>
      <c r="B27" s="12"/>
      <c r="C27" s="12"/>
      <c r="D27" s="12"/>
      <c r="E27" s="12"/>
      <c r="F27" s="12"/>
      <c r="G27" s="12"/>
      <c r="H27" s="12"/>
      <c r="I27" s="12"/>
      <c r="J27" s="12"/>
      <c r="K27" s="12"/>
      <c r="L27" s="12"/>
    </row>
    <row r="28" customFormat="false" ht="15.75" hidden="false" customHeight="true" outlineLevel="0" collapsed="false">
      <c r="A28" s="19"/>
      <c r="B28" s="12"/>
      <c r="C28" s="12"/>
      <c r="D28" s="12"/>
      <c r="E28" s="12"/>
      <c r="F28" s="12"/>
      <c r="G28" s="12"/>
      <c r="H28" s="12"/>
      <c r="I28" s="12"/>
      <c r="J28" s="12"/>
      <c r="K28" s="12"/>
      <c r="L28" s="12"/>
    </row>
    <row r="29" customFormat="false" ht="15.75" hidden="false" customHeight="true" outlineLevel="0" collapsed="false">
      <c r="A29" s="19"/>
      <c r="B29" s="12"/>
      <c r="C29" s="12"/>
      <c r="D29" s="12"/>
      <c r="E29" s="12"/>
      <c r="F29" s="12"/>
      <c r="G29" s="12"/>
      <c r="H29" s="12"/>
      <c r="I29" s="12"/>
      <c r="J29" s="12"/>
      <c r="K29" s="12"/>
      <c r="L29" s="12"/>
    </row>
    <row r="30" customFormat="false" ht="15.75" hidden="false" customHeight="true" outlineLevel="0" collapsed="false">
      <c r="A30" s="19"/>
      <c r="B30" s="12"/>
      <c r="C30" s="12"/>
      <c r="D30" s="12"/>
      <c r="E30" s="12"/>
      <c r="F30" s="12"/>
      <c r="G30" s="12"/>
      <c r="H30" s="12"/>
      <c r="I30" s="12"/>
      <c r="J30" s="12"/>
      <c r="K30" s="12"/>
      <c r="L30" s="12"/>
    </row>
    <row r="31" customFormat="false" ht="15.75" hidden="false" customHeight="true" outlineLevel="0" collapsed="false">
      <c r="A31" s="19"/>
      <c r="B31" s="12"/>
      <c r="C31" s="12"/>
      <c r="D31" s="12"/>
      <c r="E31" s="12"/>
      <c r="F31" s="12"/>
      <c r="G31" s="12"/>
      <c r="H31" s="12"/>
      <c r="I31" s="12"/>
      <c r="J31" s="12"/>
      <c r="K31" s="12"/>
      <c r="L31" s="12"/>
    </row>
    <row r="32" customFormat="false" ht="15.75" hidden="false" customHeight="true" outlineLevel="0" collapsed="false">
      <c r="A32" s="19"/>
      <c r="B32" s="12"/>
      <c r="C32" s="12"/>
      <c r="D32" s="12"/>
      <c r="E32" s="12"/>
      <c r="F32" s="12"/>
      <c r="G32" s="12"/>
      <c r="H32" s="12"/>
      <c r="I32" s="12"/>
      <c r="J32" s="12"/>
      <c r="K32" s="12"/>
      <c r="L32" s="12"/>
    </row>
    <row r="34" customFormat="false" ht="30" hidden="false" customHeight="true" outlineLevel="0" collapsed="false">
      <c r="A34" s="17"/>
    </row>
    <row r="37" customFormat="false" ht="18" hidden="false" customHeight="true" outlineLevel="0" collapsed="false">
      <c r="A37" s="15"/>
      <c r="B37" s="16"/>
      <c r="C37" s="16"/>
      <c r="D37" s="16"/>
      <c r="E37" s="16"/>
      <c r="F37" s="16"/>
      <c r="G37" s="16"/>
      <c r="H37" s="16"/>
      <c r="I37" s="16"/>
    </row>
    <row r="38" customFormat="false" ht="30" hidden="false" customHeight="true" outlineLevel="0" collapsed="false">
      <c r="A38" s="18" t="s">
        <v>55</v>
      </c>
      <c r="B38" s="18" t="s">
        <v>56</v>
      </c>
      <c r="C38" s="18" t="s">
        <v>268</v>
      </c>
      <c r="D38" s="18" t="s">
        <v>269</v>
      </c>
      <c r="E38" s="18" t="s">
        <v>270</v>
      </c>
      <c r="F38" s="18" t="s">
        <v>271</v>
      </c>
      <c r="G38" s="18" t="s">
        <v>272</v>
      </c>
      <c r="H38" s="18" t="s">
        <v>273</v>
      </c>
      <c r="I38" s="18" t="s">
        <v>274</v>
      </c>
    </row>
    <row r="39" customFormat="false" ht="15.75" hidden="false" customHeight="true" outlineLevel="0" collapsed="false">
      <c r="A39" s="19" t="n">
        <v>1</v>
      </c>
      <c r="B39" s="12" t="s">
        <v>59</v>
      </c>
      <c r="C39" s="12" t="n">
        <v>110</v>
      </c>
      <c r="D39" s="12" t="n">
        <v>75</v>
      </c>
      <c r="E39" s="12" t="n">
        <v>4</v>
      </c>
      <c r="F39" s="21" t="n">
        <f aca="false">IFERROR(IF(AND(C39="",E39=""),"",N(C39)+N(E39)),"")</f>
        <v>114</v>
      </c>
      <c r="G39" s="12" t="s">
        <v>275</v>
      </c>
      <c r="H39" s="12" t="s">
        <v>124</v>
      </c>
      <c r="I39" s="12" t="s">
        <v>52</v>
      </c>
    </row>
    <row r="40" customFormat="false" ht="15.75" hidden="false" customHeight="true" outlineLevel="0" collapsed="false">
      <c r="A40" s="19" t="n">
        <v>2</v>
      </c>
      <c r="B40" s="12" t="s">
        <v>62</v>
      </c>
      <c r="C40" s="12" t="n">
        <v>110</v>
      </c>
      <c r="D40" s="12" t="n">
        <v>75</v>
      </c>
      <c r="E40" s="12" t="n">
        <v>4</v>
      </c>
      <c r="F40" s="21" t="n">
        <f aca="false">IFERROR(IF(AND(C40="",E40=""),"",N(C40)+N(E40)),"")</f>
        <v>114</v>
      </c>
      <c r="G40" s="12" t="s">
        <v>275</v>
      </c>
      <c r="H40" s="12" t="s">
        <v>124</v>
      </c>
      <c r="I40" s="12" t="s">
        <v>52</v>
      </c>
    </row>
    <row r="41" customFormat="false" ht="15.75" hidden="false" customHeight="true" outlineLevel="0" collapsed="false">
      <c r="A41" s="19"/>
      <c r="B41" s="12"/>
      <c r="C41" s="12"/>
      <c r="D41" s="12"/>
      <c r="E41" s="12"/>
      <c r="F41" s="21" t="str">
        <f aca="false">IFERROR(IF(AND(C41="",E41=""),"",N(C41)+N(E41)),"")</f>
        <v/>
      </c>
      <c r="G41" s="12"/>
      <c r="H41" s="12"/>
      <c r="I41" s="12"/>
    </row>
    <row r="42" customFormat="false" ht="15.75" hidden="false" customHeight="true" outlineLevel="0" collapsed="false">
      <c r="A42" s="19"/>
      <c r="B42" s="12"/>
      <c r="C42" s="12"/>
      <c r="D42" s="12"/>
      <c r="E42" s="12"/>
      <c r="F42" s="21" t="str">
        <f aca="false">IFERROR(IF(AND(C42="",E42=""),"",N(C42)+N(E42)),"")</f>
        <v/>
      </c>
      <c r="G42" s="12"/>
      <c r="H42" s="12"/>
      <c r="I42" s="12"/>
    </row>
    <row r="43" customFormat="false" ht="15.75" hidden="false" customHeight="true" outlineLevel="0" collapsed="false">
      <c r="A43" s="19"/>
      <c r="B43" s="12"/>
      <c r="C43" s="12"/>
      <c r="D43" s="12"/>
      <c r="E43" s="12"/>
      <c r="F43" s="21" t="str">
        <f aca="false">IFERROR(IF(AND(C43="",E43=""),"",N(C43)+N(E43)),"")</f>
        <v/>
      </c>
      <c r="G43" s="12"/>
      <c r="H43" s="12"/>
      <c r="I43" s="12"/>
    </row>
    <row r="44" customFormat="false" ht="15.75" hidden="false" customHeight="true" outlineLevel="0" collapsed="false">
      <c r="A44" s="19"/>
      <c r="B44" s="12"/>
      <c r="C44" s="12"/>
      <c r="D44" s="12"/>
      <c r="E44" s="12"/>
      <c r="F44" s="21" t="str">
        <f aca="false">IFERROR(IF(AND(C44="",E44=""),"",N(C44)+N(E44)),"")</f>
        <v/>
      </c>
      <c r="G44" s="12"/>
      <c r="H44" s="12"/>
      <c r="I44" s="12"/>
    </row>
    <row r="45" customFormat="false" ht="15.75" hidden="false" customHeight="true" outlineLevel="0" collapsed="false">
      <c r="A45" s="19"/>
      <c r="B45" s="12"/>
      <c r="C45" s="12"/>
      <c r="D45" s="12"/>
      <c r="E45" s="12"/>
      <c r="F45" s="21" t="str">
        <f aca="false">IFERROR(IF(AND(C45="",E45=""),"",N(C45)+N(E45)),"")</f>
        <v/>
      </c>
      <c r="G45" s="12"/>
      <c r="H45" s="12"/>
      <c r="I45" s="12"/>
    </row>
    <row r="46" customFormat="false" ht="15.75" hidden="false" customHeight="true" outlineLevel="0" collapsed="false">
      <c r="A46" s="19"/>
      <c r="B46" s="12"/>
      <c r="C46" s="12"/>
      <c r="D46" s="12"/>
      <c r="E46" s="12"/>
      <c r="F46" s="21" t="str">
        <f aca="false">IFERROR(IF(AND(C46="",E46=""),"",N(C46)+N(E46)),"")</f>
        <v/>
      </c>
      <c r="G46" s="12"/>
      <c r="H46" s="12"/>
      <c r="I46" s="12"/>
    </row>
    <row r="47" customFormat="false" ht="15.75" hidden="false" customHeight="true" outlineLevel="0" collapsed="false">
      <c r="A47" s="19"/>
      <c r="B47" s="12"/>
      <c r="C47" s="12"/>
      <c r="D47" s="12"/>
      <c r="E47" s="12"/>
      <c r="F47" s="21" t="str">
        <f aca="false">IFERROR(IF(AND(C47="",E47=""),"",N(C47)+N(E47)),"")</f>
        <v/>
      </c>
      <c r="G47" s="12"/>
      <c r="H47" s="12"/>
      <c r="I47" s="12"/>
    </row>
    <row r="48" customFormat="false" ht="15.75" hidden="false" customHeight="true" outlineLevel="0" collapsed="false">
      <c r="A48" s="19"/>
      <c r="B48" s="12"/>
      <c r="C48" s="12"/>
      <c r="D48" s="12"/>
      <c r="E48" s="12"/>
      <c r="F48" s="21" t="str">
        <f aca="false">IFERROR(IF(AND(C48="",E48=""),"",N(C48)+N(E48)),"")</f>
        <v/>
      </c>
      <c r="G48" s="12"/>
      <c r="H48" s="12"/>
      <c r="I48" s="12"/>
    </row>
  </sheetData>
  <mergeCells count="1">
    <mergeCell ref="A1:L1"/>
  </mergeCells>
  <dataValidations count="3">
    <dataValidation allowBlank="true" errorStyle="stop" operator="between" showDropDown="false" showErrorMessage="false" showInputMessage="false" sqref="D5:D6 D9:D32" type="list">
      <formula1>"Freezing,Straining,Centrifuging,Drying,Other"</formula1>
      <formula2>0</formula2>
    </dataValidation>
    <dataValidation allowBlank="true" errorStyle="stop" operator="between" showDropDown="false" showErrorMessage="false" showInputMessage="false" sqref="E5:E32" type="list">
      <formula1>"Whole broth,Supernatant,Pellet"</formula1>
      <formula2>0</formula2>
    </dataValidation>
    <dataValidation allowBlank="true" error="Pick a Flask ID from the flask index on 01_BATCH INFO." errorStyle="stop" errorTitle="Unknown Flask ID" operator="between" showDropDown="false" showErrorMessage="false" showInputMessage="false" sqref="B5:B32 B39:B48"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8.5703125" defaultRowHeight="15" zeroHeight="false" outlineLevelRow="0" outlineLevelCol="0"/>
  <cols>
    <col collapsed="false" customWidth="true" hidden="false" outlineLevel="0" max="1" min="1" style="1" width="52"/>
    <col collapsed="false" customWidth="true" hidden="false" outlineLevel="0" max="2" min="2" style="1" width="18"/>
    <col collapsed="false" customWidth="true" hidden="false" outlineLevel="0" max="3" min="3" style="1" width="27.86"/>
    <col collapsed="false" customWidth="true" hidden="false" outlineLevel="0" max="4" min="4" style="1" width="33.42"/>
    <col collapsed="false" customWidth="true" hidden="false" outlineLevel="0" max="5" min="5" style="1" width="32.57"/>
  </cols>
  <sheetData>
    <row r="1" customFormat="false" ht="19.5" hidden="false" customHeight="true" outlineLevel="0" collapsed="false">
      <c r="A1" s="2" t="s">
        <v>276</v>
      </c>
    </row>
    <row r="3" customFormat="false" ht="18.75" hidden="false" customHeight="true" outlineLevel="0" collapsed="false">
      <c r="A3" s="4" t="s">
        <v>277</v>
      </c>
      <c r="B3" s="11" t="s">
        <v>278</v>
      </c>
      <c r="C3" s="4" t="s">
        <v>188</v>
      </c>
      <c r="D3" s="12" t="s">
        <v>197</v>
      </c>
    </row>
    <row r="4" customFormat="false" ht="18.75" hidden="false" customHeight="true" outlineLevel="0" collapsed="false">
      <c r="A4" s="4" t="s">
        <v>279</v>
      </c>
      <c r="B4" s="12" t="s">
        <v>280</v>
      </c>
      <c r="C4" s="4" t="s">
        <v>281</v>
      </c>
      <c r="D4" s="12" t="s">
        <v>106</v>
      </c>
    </row>
    <row r="5" customFormat="false" ht="18.75" hidden="false" customHeight="true" outlineLevel="0" collapsed="false">
      <c r="A5" s="4" t="s">
        <v>51</v>
      </c>
      <c r="B5" s="12" t="s">
        <v>52</v>
      </c>
    </row>
    <row r="7" customFormat="false" ht="18" hidden="false" customHeight="true" outlineLevel="0" collapsed="false">
      <c r="A7" s="26" t="s">
        <v>282</v>
      </c>
      <c r="B7" s="26" t="s">
        <v>59</v>
      </c>
      <c r="C7" s="26" t="s">
        <v>62</v>
      </c>
      <c r="D7" s="26" t="s">
        <v>283</v>
      </c>
      <c r="E7" s="26" t="s">
        <v>284</v>
      </c>
    </row>
    <row r="8" customFormat="false" ht="16.5" hidden="false" customHeight="true" outlineLevel="0" collapsed="false">
      <c r="A8" s="27" t="s">
        <v>285</v>
      </c>
      <c r="B8" s="35"/>
      <c r="C8" s="35"/>
      <c r="D8" s="35"/>
      <c r="E8" s="35"/>
    </row>
    <row r="9" customFormat="false" ht="15.75" hidden="false" customHeight="true" outlineLevel="0" collapsed="false">
      <c r="A9" s="12" t="s">
        <v>286</v>
      </c>
      <c r="B9" s="12" t="n">
        <v>4</v>
      </c>
      <c r="C9" s="12" t="n">
        <v>4</v>
      </c>
      <c r="D9" s="12" t="s">
        <v>124</v>
      </c>
      <c r="E9" s="12" t="s">
        <v>124</v>
      </c>
    </row>
    <row r="10" customFormat="false" ht="15.75" hidden="false" customHeight="true" outlineLevel="0" collapsed="false">
      <c r="A10" s="12" t="s">
        <v>268</v>
      </c>
      <c r="B10" s="36" t="n">
        <v>110</v>
      </c>
      <c r="C10" s="12" t="n">
        <v>110</v>
      </c>
      <c r="D10" s="12" t="s">
        <v>124</v>
      </c>
      <c r="E10" s="12" t="s">
        <v>124</v>
      </c>
    </row>
    <row r="11" customFormat="false" ht="15.75" hidden="false" customHeight="true" outlineLevel="0" collapsed="false">
      <c r="A11" s="12" t="s">
        <v>287</v>
      </c>
      <c r="B11" s="12" t="s">
        <v>124</v>
      </c>
      <c r="C11" s="12" t="s">
        <v>124</v>
      </c>
      <c r="D11" s="12" t="s">
        <v>124</v>
      </c>
      <c r="E11" s="12" t="s">
        <v>124</v>
      </c>
    </row>
    <row r="12" customFormat="false" ht="15.75" hidden="false" customHeight="true" outlineLevel="0" collapsed="false">
      <c r="A12" s="12" t="s">
        <v>288</v>
      </c>
      <c r="B12" s="12" t="s">
        <v>124</v>
      </c>
      <c r="C12" s="12" t="s">
        <v>124</v>
      </c>
      <c r="D12" s="12" t="s">
        <v>124</v>
      </c>
      <c r="E12" s="12" t="s">
        <v>124</v>
      </c>
    </row>
    <row r="13" customFormat="false" ht="15.75" hidden="false" customHeight="true" outlineLevel="0" collapsed="false">
      <c r="A13" s="12" t="s">
        <v>289</v>
      </c>
      <c r="B13" s="21" t="n">
        <v>114</v>
      </c>
      <c r="C13" s="12" t="n">
        <v>114</v>
      </c>
      <c r="D13" s="12" t="s">
        <v>124</v>
      </c>
      <c r="E13" s="21" t="s">
        <v>124</v>
      </c>
    </row>
    <row r="14" customFormat="false" ht="16.5" hidden="false" customHeight="true" outlineLevel="0" collapsed="false">
      <c r="A14" s="27" t="s">
        <v>290</v>
      </c>
      <c r="B14" s="35"/>
      <c r="C14" s="35"/>
      <c r="D14" s="35"/>
      <c r="E14" s="35"/>
    </row>
    <row r="15" customFormat="false" ht="15.75" hidden="false" customHeight="true" outlineLevel="0" collapsed="false">
      <c r="A15" s="12" t="s">
        <v>291</v>
      </c>
      <c r="B15" s="12" t="n">
        <v>5.11</v>
      </c>
      <c r="C15" s="12" t="n">
        <v>5.12</v>
      </c>
      <c r="D15" s="12" t="s">
        <v>124</v>
      </c>
      <c r="E15" s="12" t="s">
        <v>124</v>
      </c>
    </row>
    <row r="16" customFormat="false" ht="15.75" hidden="false" customHeight="true" outlineLevel="0" collapsed="false">
      <c r="A16" s="12" t="s">
        <v>292</v>
      </c>
      <c r="B16" s="12" t="n">
        <v>5.08</v>
      </c>
      <c r="C16" s="12" t="n">
        <v>5.12</v>
      </c>
      <c r="D16" s="12" t="s">
        <v>124</v>
      </c>
      <c r="E16" s="12" t="s">
        <v>124</v>
      </c>
    </row>
    <row r="17" customFormat="false" ht="16.5" hidden="false" customHeight="true" outlineLevel="0" collapsed="false">
      <c r="A17" s="27" t="s">
        <v>293</v>
      </c>
      <c r="B17" s="35"/>
      <c r="C17" s="35"/>
      <c r="D17" s="35"/>
      <c r="E17" s="35"/>
    </row>
    <row r="18" customFormat="false" ht="15.75" hidden="false" customHeight="true" outlineLevel="0" collapsed="false">
      <c r="A18" s="12" t="s">
        <v>294</v>
      </c>
      <c r="B18" s="12" t="s">
        <v>124</v>
      </c>
      <c r="C18" s="12" t="s">
        <v>124</v>
      </c>
      <c r="D18" s="12" t="s">
        <v>124</v>
      </c>
      <c r="E18" s="12" t="s">
        <v>124</v>
      </c>
    </row>
    <row r="19" customFormat="false" ht="15.75" hidden="false" customHeight="true" outlineLevel="0" collapsed="false">
      <c r="A19" s="12" t="s">
        <v>295</v>
      </c>
      <c r="B19" s="12" t="s">
        <v>124</v>
      </c>
      <c r="C19" s="12" t="s">
        <v>124</v>
      </c>
      <c r="D19" s="12" t="s">
        <v>124</v>
      </c>
      <c r="E19" s="12" t="s">
        <v>124</v>
      </c>
    </row>
    <row r="20" customFormat="false" ht="15.75" hidden="false" customHeight="true" outlineLevel="0" collapsed="false">
      <c r="A20" s="12" t="s">
        <v>296</v>
      </c>
      <c r="B20" s="12" t="s">
        <v>124</v>
      </c>
      <c r="C20" s="12" t="s">
        <v>124</v>
      </c>
      <c r="D20" s="12" t="s">
        <v>124</v>
      </c>
      <c r="E20" s="12" t="s">
        <v>124</v>
      </c>
    </row>
    <row r="21" customFormat="false" ht="16.5" hidden="false" customHeight="true" outlineLevel="0" collapsed="false">
      <c r="A21" s="27" t="s">
        <v>297</v>
      </c>
      <c r="B21" s="35"/>
      <c r="C21" s="35"/>
      <c r="D21" s="35"/>
      <c r="E21" s="35"/>
    </row>
    <row r="22" customFormat="false" ht="15.75" hidden="false" customHeight="true" outlineLevel="0" collapsed="false">
      <c r="A22" s="12" t="s">
        <v>298</v>
      </c>
      <c r="B22" s="12" t="s">
        <v>299</v>
      </c>
      <c r="C22" s="12" t="s">
        <v>299</v>
      </c>
      <c r="D22" s="12" t="s">
        <v>124</v>
      </c>
      <c r="E22" s="12" t="s">
        <v>124</v>
      </c>
    </row>
    <row r="23" customFormat="false" ht="18.75" hidden="false" customHeight="true" outlineLevel="0" collapsed="false">
      <c r="A23" s="12" t="s">
        <v>300</v>
      </c>
      <c r="B23" s="37" t="s">
        <v>301</v>
      </c>
      <c r="C23" s="12" t="s">
        <v>301</v>
      </c>
      <c r="D23" s="12" t="s">
        <v>124</v>
      </c>
      <c r="E23" s="12" t="s">
        <v>124</v>
      </c>
    </row>
    <row r="24" customFormat="false" ht="15.75" hidden="false" customHeight="true" outlineLevel="0" collapsed="false">
      <c r="A24" s="12" t="s">
        <v>302</v>
      </c>
      <c r="B24" s="1" t="s">
        <v>303</v>
      </c>
      <c r="C24" s="12" t="s">
        <v>303</v>
      </c>
      <c r="D24" s="12" t="s">
        <v>124</v>
      </c>
      <c r="E24" s="12" t="s">
        <v>124</v>
      </c>
    </row>
    <row r="25" customFormat="false" ht="15.75" hidden="false" customHeight="true" outlineLevel="0" collapsed="false">
      <c r="A25" s="12" t="s">
        <v>304</v>
      </c>
      <c r="B25" s="12" t="s">
        <v>305</v>
      </c>
      <c r="C25" s="12" t="s">
        <v>305</v>
      </c>
      <c r="D25" s="12" t="s">
        <v>124</v>
      </c>
      <c r="E25" s="12" t="s">
        <v>124</v>
      </c>
    </row>
    <row r="26" customFormat="false" ht="15.75" hidden="false" customHeight="true" outlineLevel="0" collapsed="false">
      <c r="A26" s="12" t="s">
        <v>306</v>
      </c>
      <c r="B26" s="12" t="s">
        <v>307</v>
      </c>
      <c r="C26" s="12" t="s">
        <v>307</v>
      </c>
      <c r="D26" s="12" t="s">
        <v>124</v>
      </c>
      <c r="E26" s="12" t="s">
        <v>124</v>
      </c>
    </row>
    <row r="27" customFormat="false" ht="15.75" hidden="false" customHeight="true" outlineLevel="0" collapsed="false">
      <c r="A27" s="12" t="s">
        <v>308</v>
      </c>
      <c r="B27" s="12" t="s">
        <v>309</v>
      </c>
      <c r="C27" s="12" t="s">
        <v>309</v>
      </c>
      <c r="D27" s="12" t="s">
        <v>124</v>
      </c>
      <c r="E27" s="12" t="s">
        <v>124</v>
      </c>
    </row>
    <row r="28" customFormat="false" ht="15.75" hidden="false" customHeight="true" outlineLevel="0" collapsed="false">
      <c r="A28" s="12" t="s">
        <v>310</v>
      </c>
      <c r="B28" s="12" t="s">
        <v>309</v>
      </c>
      <c r="C28" s="12" t="s">
        <v>309</v>
      </c>
      <c r="D28" s="12" t="s">
        <v>124</v>
      </c>
      <c r="E28" s="12" t="s">
        <v>124</v>
      </c>
    </row>
    <row r="29" customFormat="false" ht="16.5" hidden="false" customHeight="true" outlineLevel="0" collapsed="false">
      <c r="A29" s="27" t="s">
        <v>311</v>
      </c>
      <c r="B29" s="35"/>
      <c r="C29" s="35"/>
      <c r="D29" s="35"/>
      <c r="E29" s="35"/>
    </row>
    <row r="30" customFormat="false" ht="15.75" hidden="false" customHeight="true" outlineLevel="0" collapsed="false">
      <c r="A30" s="12" t="s">
        <v>312</v>
      </c>
      <c r="B30" s="12" t="s">
        <v>313</v>
      </c>
      <c r="C30" s="12" t="s">
        <v>313</v>
      </c>
      <c r="D30" s="12" t="s">
        <v>124</v>
      </c>
      <c r="E30" s="12" t="s">
        <v>124</v>
      </c>
    </row>
    <row r="31" customFormat="false" ht="15.75" hidden="false" customHeight="true" outlineLevel="0" collapsed="false">
      <c r="A31" s="12" t="s">
        <v>314</v>
      </c>
      <c r="B31" s="12" t="s">
        <v>313</v>
      </c>
      <c r="C31" s="12" t="s">
        <v>313</v>
      </c>
      <c r="D31" s="12" t="s">
        <v>124</v>
      </c>
      <c r="E31" s="12" t="s">
        <v>124</v>
      </c>
    </row>
    <row r="33" customFormat="false" ht="18" hidden="false" customHeight="true" outlineLevel="0" collapsed="false">
      <c r="A33" s="15" t="s">
        <v>83</v>
      </c>
      <c r="B33" s="16"/>
      <c r="C33" s="16"/>
      <c r="D33" s="16"/>
    </row>
    <row r="34" customFormat="false" ht="18.75" hidden="false" customHeight="true" outlineLevel="0" collapsed="false">
      <c r="A34" s="4" t="s">
        <v>315</v>
      </c>
      <c r="B34" s="12" t="s">
        <v>64</v>
      </c>
      <c r="C34" s="4" t="s">
        <v>65</v>
      </c>
      <c r="D34" s="12" t="s">
        <v>6</v>
      </c>
    </row>
    <row r="35" customFormat="false" ht="18.75" hidden="false" customHeight="true" outlineLevel="0" collapsed="false">
      <c r="A35" s="4" t="s">
        <v>66</v>
      </c>
      <c r="B35" s="12" t="s">
        <v>8</v>
      </c>
      <c r="C35" s="4" t="s">
        <v>67</v>
      </c>
      <c r="D35" s="12" t="s">
        <v>68</v>
      </c>
    </row>
  </sheetData>
  <dataValidations count="2">
    <dataValidation allowBlank="true" errorStyle="stop" operator="between" showDropDown="false" showErrorMessage="false" showInputMessage="false" sqref="B4" type="list">
      <formula1>"Pellet,Supernatant,Both"</formula1>
      <formula2>0</formula2>
    </dataValidation>
    <dataValidation allowBlank="true" errorStyle="stop" operator="between" showDropDown="false" showErrorMessage="false" showInputMessage="false" sqref="B18:B20 E18:E20 D35"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E14" colorId="64" zoomScale="100" zoomScaleNormal="100" zoomScalePageLayoutView="100" workbookViewId="0">
      <selection pane="topLeft" activeCell="F6" activeCellId="0" sqref="F6"/>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3" min="3" style="1" width="24.57"/>
    <col collapsed="false" customWidth="true" hidden="false" outlineLevel="0" max="4" min="4" style="1" width="11"/>
    <col collapsed="false" customWidth="true" hidden="false" outlineLevel="0" max="5" min="5" style="1" width="17"/>
    <col collapsed="false" customWidth="true" hidden="false" outlineLevel="0" max="6" min="6" style="1" width="35.71"/>
    <col collapsed="false" customWidth="true" hidden="false" outlineLevel="0" max="7" min="7" style="1" width="17"/>
    <col collapsed="false" customWidth="true" hidden="false" outlineLevel="0" max="8" min="8" style="1" width="18.71"/>
    <col collapsed="false" customWidth="true" hidden="false" outlineLevel="0" max="9" min="9" style="1" width="28"/>
    <col collapsed="false" customWidth="true" hidden="false" outlineLevel="0" max="10" min="10" style="1" width="12"/>
    <col collapsed="false" customWidth="true" hidden="false" outlineLevel="0" max="11" min="11" style="1" width="26"/>
    <col collapsed="false" customWidth="true" hidden="false" outlineLevel="0" max="12" min="12" style="1" width="11"/>
    <col collapsed="false" customWidth="true" hidden="false" outlineLevel="0" max="13" min="13" style="1" width="17.15"/>
    <col collapsed="false" customWidth="true" hidden="false" outlineLevel="0" max="15" min="14" style="1" width="14"/>
  </cols>
  <sheetData>
    <row r="1" customFormat="false" ht="19.5" hidden="false" customHeight="true" outlineLevel="0" collapsed="false">
      <c r="A1" s="10" t="s">
        <v>316</v>
      </c>
      <c r="B1" s="10"/>
      <c r="C1" s="10"/>
      <c r="D1" s="10"/>
      <c r="E1" s="10"/>
      <c r="F1" s="10"/>
      <c r="G1" s="10"/>
      <c r="H1" s="10"/>
      <c r="I1" s="10"/>
      <c r="J1" s="10"/>
      <c r="K1" s="10"/>
      <c r="L1" s="10"/>
      <c r="M1" s="10"/>
      <c r="N1" s="10"/>
      <c r="O1" s="10"/>
    </row>
    <row r="2" customFormat="false" ht="13.5" hidden="false" customHeight="true" outlineLevel="0" collapsed="false">
      <c r="A2" s="3" t="s">
        <v>317</v>
      </c>
    </row>
    <row r="4" customFormat="false" ht="30" hidden="false" customHeight="true" outlineLevel="0" collapsed="false">
      <c r="A4" s="18" t="s">
        <v>55</v>
      </c>
      <c r="B4" s="18" t="s">
        <v>318</v>
      </c>
      <c r="C4" s="18" t="s">
        <v>319</v>
      </c>
      <c r="D4" s="18" t="s">
        <v>320</v>
      </c>
      <c r="E4" s="18" t="s">
        <v>321</v>
      </c>
      <c r="F4" s="18" t="s">
        <v>322</v>
      </c>
      <c r="G4" s="18" t="s">
        <v>323</v>
      </c>
      <c r="H4" s="18" t="s">
        <v>324</v>
      </c>
      <c r="I4" s="18" t="s">
        <v>325</v>
      </c>
      <c r="J4" s="18" t="s">
        <v>326</v>
      </c>
      <c r="K4" s="18" t="s">
        <v>327</v>
      </c>
      <c r="L4" s="18" t="s">
        <v>328</v>
      </c>
      <c r="M4" s="18" t="s">
        <v>329</v>
      </c>
      <c r="N4" s="18" t="s">
        <v>330</v>
      </c>
      <c r="O4" s="18" t="s">
        <v>155</v>
      </c>
    </row>
    <row r="5" customFormat="false" ht="15.75" hidden="false" customHeight="true" outlineLevel="0" collapsed="false">
      <c r="A5" s="19" t="n">
        <v>1</v>
      </c>
      <c r="B5" s="11" t="s">
        <v>331</v>
      </c>
      <c r="C5" s="11" t="s">
        <v>332</v>
      </c>
      <c r="D5" s="11" t="n">
        <v>37</v>
      </c>
      <c r="E5" s="38" t="s">
        <v>107</v>
      </c>
      <c r="F5" s="11" t="s">
        <v>333</v>
      </c>
      <c r="G5" s="38" t="s">
        <v>107</v>
      </c>
      <c r="H5" s="11" t="s">
        <v>334</v>
      </c>
      <c r="I5" s="11" t="s">
        <v>335</v>
      </c>
      <c r="J5" s="11" t="s">
        <v>134</v>
      </c>
      <c r="K5" s="11" t="s">
        <v>336</v>
      </c>
      <c r="L5" s="11" t="s">
        <v>337</v>
      </c>
      <c r="M5" s="38" t="s">
        <v>244</v>
      </c>
      <c r="N5" s="12" t="s">
        <v>52</v>
      </c>
      <c r="O5" s="12" t="s">
        <v>52</v>
      </c>
    </row>
    <row r="6" customFormat="false" ht="15.75" hidden="false" customHeight="true" outlineLevel="0" collapsed="false">
      <c r="A6" s="19"/>
      <c r="B6" s="11"/>
      <c r="C6" s="11"/>
      <c r="D6" s="12"/>
      <c r="E6" s="38"/>
      <c r="F6" s="11"/>
      <c r="G6" s="38"/>
      <c r="H6" s="11"/>
      <c r="I6" s="11"/>
      <c r="J6" s="12"/>
      <c r="K6" s="11"/>
      <c r="L6" s="11"/>
      <c r="M6" s="38"/>
      <c r="N6" s="12"/>
      <c r="O6" s="12"/>
    </row>
    <row r="7" customFormat="false" ht="15.75" hidden="false" customHeight="true" outlineLevel="0" collapsed="false">
      <c r="A7" s="19"/>
      <c r="B7" s="11"/>
      <c r="C7" s="25"/>
      <c r="D7" s="12"/>
      <c r="E7" s="38"/>
      <c r="F7" s="12"/>
      <c r="G7" s="38"/>
      <c r="H7" s="12"/>
      <c r="I7" s="12"/>
      <c r="J7" s="12"/>
      <c r="K7" s="11"/>
      <c r="L7" s="11"/>
      <c r="M7" s="38"/>
      <c r="N7" s="12"/>
      <c r="O7" s="12"/>
    </row>
    <row r="8" customFormat="false" ht="15.75" hidden="false" customHeight="true" outlineLevel="0" collapsed="false">
      <c r="A8" s="19"/>
      <c r="B8" s="11"/>
      <c r="C8" s="25"/>
      <c r="D8" s="12"/>
      <c r="E8" s="38"/>
      <c r="F8" s="12"/>
      <c r="G8" s="38"/>
      <c r="H8" s="12"/>
      <c r="I8" s="12"/>
      <c r="J8" s="12"/>
      <c r="K8" s="11"/>
      <c r="L8" s="11"/>
      <c r="M8" s="38"/>
      <c r="N8" s="12"/>
      <c r="O8" s="12"/>
    </row>
    <row r="9" customFormat="false" ht="15.75" hidden="false" customHeight="true" outlineLevel="0" collapsed="false">
      <c r="A9" s="19"/>
      <c r="B9" s="11"/>
      <c r="C9" s="25"/>
      <c r="D9" s="12"/>
      <c r="E9" s="38"/>
      <c r="F9" s="12"/>
      <c r="G9" s="38"/>
      <c r="H9" s="12"/>
      <c r="I9" s="12"/>
      <c r="J9" s="12"/>
      <c r="K9" s="11"/>
      <c r="L9" s="11"/>
      <c r="M9" s="38"/>
      <c r="N9" s="12"/>
      <c r="O9" s="12"/>
    </row>
    <row r="10" customFormat="false" ht="15.75" hidden="false" customHeight="true" outlineLevel="0" collapsed="false">
      <c r="A10" s="19"/>
      <c r="B10" s="11"/>
      <c r="C10" s="25"/>
      <c r="D10" s="12"/>
      <c r="E10" s="38"/>
      <c r="F10" s="12"/>
      <c r="G10" s="38"/>
      <c r="H10" s="12"/>
      <c r="I10" s="12"/>
      <c r="J10" s="12"/>
      <c r="K10" s="11"/>
      <c r="L10" s="11"/>
      <c r="M10" s="38"/>
      <c r="N10" s="12"/>
      <c r="O10" s="12"/>
    </row>
    <row r="11" customFormat="false" ht="15.75" hidden="false" customHeight="true" outlineLevel="0" collapsed="false">
      <c r="A11" s="19"/>
      <c r="B11" s="12"/>
      <c r="C11" s="12"/>
      <c r="D11" s="12"/>
      <c r="E11" s="12"/>
      <c r="F11" s="12"/>
      <c r="G11" s="12"/>
      <c r="H11" s="12"/>
      <c r="I11" s="12"/>
      <c r="J11" s="12"/>
      <c r="K11" s="12"/>
      <c r="L11" s="12"/>
      <c r="M11" s="12"/>
      <c r="N11" s="12"/>
      <c r="O11" s="12"/>
    </row>
    <row r="12" customFormat="false" ht="15.75" hidden="false" customHeight="true" outlineLevel="0" collapsed="false">
      <c r="A12" s="19"/>
      <c r="B12" s="12"/>
      <c r="C12" s="12"/>
      <c r="D12" s="12"/>
      <c r="E12" s="12"/>
      <c r="F12" s="12"/>
      <c r="G12" s="12"/>
      <c r="H12" s="12"/>
      <c r="I12" s="12"/>
      <c r="J12" s="12"/>
      <c r="K12" s="12"/>
      <c r="L12" s="12"/>
      <c r="M12" s="12"/>
      <c r="N12" s="12"/>
      <c r="O12" s="12"/>
    </row>
    <row r="13" customFormat="false" ht="15.75" hidden="false" customHeight="true" outlineLevel="0" collapsed="false">
      <c r="A13" s="19"/>
      <c r="B13" s="12"/>
      <c r="C13" s="12"/>
      <c r="D13" s="12"/>
      <c r="E13" s="12"/>
      <c r="F13" s="12"/>
      <c r="G13" s="12"/>
      <c r="H13" s="12"/>
      <c r="I13" s="12"/>
      <c r="J13" s="12"/>
      <c r="K13" s="12"/>
      <c r="L13" s="12"/>
      <c r="M13" s="12"/>
      <c r="N13" s="12"/>
      <c r="O13" s="12"/>
    </row>
    <row r="14" customFormat="false" ht="15.75" hidden="false" customHeight="true" outlineLevel="0" collapsed="false">
      <c r="A14" s="19"/>
      <c r="B14" s="12"/>
      <c r="C14" s="12"/>
      <c r="D14" s="12"/>
      <c r="E14" s="12"/>
      <c r="F14" s="12"/>
      <c r="G14" s="12"/>
      <c r="H14" s="12"/>
      <c r="I14" s="12"/>
      <c r="J14" s="12"/>
      <c r="K14" s="12"/>
      <c r="L14" s="12"/>
      <c r="M14" s="12"/>
      <c r="N14" s="12"/>
      <c r="O14" s="12"/>
    </row>
    <row r="15" customFormat="false" ht="15.75" hidden="false" customHeight="true" outlineLevel="0" collapsed="false">
      <c r="A15" s="19"/>
      <c r="B15" s="12"/>
      <c r="C15" s="12"/>
      <c r="D15" s="12"/>
      <c r="E15" s="12"/>
      <c r="F15" s="12"/>
      <c r="G15" s="12"/>
      <c r="H15" s="12"/>
      <c r="I15" s="12"/>
      <c r="J15" s="12"/>
      <c r="K15" s="12"/>
      <c r="L15" s="12"/>
      <c r="M15" s="12"/>
      <c r="N15" s="12"/>
      <c r="O15" s="12"/>
    </row>
    <row r="16" customFormat="false" ht="15.75" hidden="false" customHeight="true" outlineLevel="0" collapsed="false">
      <c r="A16" s="19"/>
      <c r="B16" s="12"/>
      <c r="C16" s="12"/>
      <c r="D16" s="12"/>
      <c r="E16" s="12"/>
      <c r="F16" s="12"/>
      <c r="G16" s="12"/>
      <c r="H16" s="12"/>
      <c r="I16" s="12"/>
      <c r="J16" s="12"/>
      <c r="K16" s="12"/>
      <c r="L16" s="12"/>
      <c r="M16" s="12"/>
      <c r="N16" s="12"/>
      <c r="O16" s="12"/>
    </row>
    <row r="17" customFormat="false" ht="15.75" hidden="false" customHeight="true" outlineLevel="0" collapsed="false">
      <c r="A17" s="19"/>
      <c r="B17" s="12"/>
      <c r="C17" s="12"/>
      <c r="D17" s="12"/>
      <c r="E17" s="12"/>
      <c r="F17" s="12"/>
      <c r="G17" s="12"/>
      <c r="H17" s="12"/>
      <c r="I17" s="12"/>
      <c r="J17" s="12"/>
      <c r="K17" s="12"/>
      <c r="L17" s="12"/>
      <c r="M17" s="12"/>
      <c r="N17" s="12"/>
      <c r="O17" s="12"/>
    </row>
    <row r="18" customFormat="false" ht="15.75" hidden="false" customHeight="true" outlineLevel="0" collapsed="false">
      <c r="A18" s="19"/>
      <c r="B18" s="12"/>
      <c r="C18" s="12"/>
      <c r="D18" s="12"/>
      <c r="E18" s="12"/>
      <c r="F18" s="12"/>
      <c r="G18" s="12"/>
      <c r="H18" s="12"/>
      <c r="I18" s="12"/>
      <c r="J18" s="12"/>
      <c r="K18" s="12"/>
      <c r="L18" s="12"/>
      <c r="M18" s="12"/>
      <c r="N18" s="12"/>
      <c r="O18" s="12"/>
    </row>
    <row r="19" customFormat="false" ht="15.75" hidden="false" customHeight="true" outlineLevel="0" collapsed="false">
      <c r="A19" s="19"/>
      <c r="B19" s="12"/>
      <c r="C19" s="12"/>
      <c r="D19" s="12"/>
      <c r="E19" s="12"/>
      <c r="F19" s="12"/>
      <c r="G19" s="12"/>
      <c r="H19" s="12"/>
      <c r="I19" s="12"/>
      <c r="J19" s="12"/>
      <c r="K19" s="12"/>
      <c r="L19" s="12"/>
      <c r="M19" s="12"/>
      <c r="N19" s="12"/>
      <c r="O19" s="12"/>
    </row>
    <row r="20" customFormat="false" ht="15.75" hidden="false" customHeight="true" outlineLevel="0" collapsed="false">
      <c r="A20" s="19"/>
      <c r="B20" s="12"/>
      <c r="C20" s="12"/>
      <c r="D20" s="12"/>
      <c r="E20" s="12"/>
      <c r="F20" s="12"/>
      <c r="G20" s="12"/>
      <c r="H20" s="12"/>
      <c r="I20" s="12"/>
      <c r="J20" s="12"/>
      <c r="K20" s="12"/>
      <c r="L20" s="12"/>
      <c r="M20" s="12"/>
      <c r="N20" s="12"/>
      <c r="O20" s="12"/>
    </row>
    <row r="21" customFormat="false" ht="15.75" hidden="false" customHeight="true" outlineLevel="0" collapsed="false">
      <c r="A21" s="19"/>
      <c r="B21" s="12"/>
      <c r="C21" s="12"/>
      <c r="D21" s="12"/>
      <c r="E21" s="12"/>
      <c r="F21" s="12"/>
      <c r="G21" s="12"/>
      <c r="H21" s="12"/>
      <c r="I21" s="12"/>
      <c r="J21" s="12"/>
      <c r="K21" s="12"/>
      <c r="L21" s="12"/>
      <c r="M21" s="12"/>
      <c r="N21" s="12"/>
      <c r="O21" s="12"/>
    </row>
    <row r="22" customFormat="false" ht="15.75" hidden="false" customHeight="true" outlineLevel="0" collapsed="false">
      <c r="A22" s="19"/>
      <c r="B22" s="12"/>
      <c r="C22" s="12"/>
      <c r="D22" s="12"/>
      <c r="E22" s="12"/>
      <c r="F22" s="12"/>
      <c r="G22" s="12"/>
      <c r="H22" s="12"/>
      <c r="I22" s="12"/>
      <c r="J22" s="12"/>
      <c r="K22" s="12"/>
      <c r="L22" s="12"/>
      <c r="M22" s="12"/>
      <c r="N22" s="12"/>
      <c r="O22" s="12"/>
    </row>
    <row r="23" customFormat="false" ht="15.75" hidden="false" customHeight="true" outlineLevel="0" collapsed="false">
      <c r="A23" s="19"/>
      <c r="B23" s="12"/>
      <c r="C23" s="12"/>
      <c r="D23" s="12"/>
      <c r="E23" s="12"/>
      <c r="F23" s="12"/>
      <c r="G23" s="12"/>
      <c r="H23" s="12"/>
      <c r="I23" s="12"/>
      <c r="J23" s="12"/>
      <c r="K23" s="12"/>
      <c r="L23" s="12"/>
      <c r="M23" s="12"/>
      <c r="N23" s="12"/>
      <c r="O23" s="12"/>
    </row>
    <row r="24" customFormat="false" ht="15.75" hidden="false" customHeight="true" outlineLevel="0" collapsed="false">
      <c r="A24" s="19"/>
      <c r="B24" s="12"/>
      <c r="C24" s="12"/>
      <c r="D24" s="12"/>
      <c r="E24" s="12"/>
      <c r="F24" s="12"/>
      <c r="G24" s="12"/>
      <c r="H24" s="12"/>
      <c r="I24" s="12"/>
      <c r="J24" s="12"/>
      <c r="K24" s="12"/>
      <c r="L24" s="12"/>
      <c r="M24" s="12"/>
      <c r="N24" s="12"/>
      <c r="O24" s="12"/>
    </row>
    <row r="25" customFormat="false" ht="15.75" hidden="false" customHeight="true" outlineLevel="0" collapsed="false">
      <c r="A25" s="19"/>
      <c r="B25" s="12"/>
      <c r="C25" s="12"/>
      <c r="D25" s="12"/>
      <c r="E25" s="12"/>
      <c r="F25" s="12"/>
      <c r="G25" s="12"/>
      <c r="H25" s="12"/>
      <c r="I25" s="12"/>
      <c r="J25" s="12"/>
      <c r="K25" s="12"/>
      <c r="L25" s="12"/>
      <c r="M25" s="12"/>
      <c r="N25" s="12"/>
      <c r="O25" s="12"/>
    </row>
    <row r="26" customFormat="false" ht="15.75" hidden="false" customHeight="true" outlineLevel="0" collapsed="false">
      <c r="A26" s="19"/>
      <c r="B26" s="12"/>
      <c r="C26" s="12"/>
      <c r="D26" s="12"/>
      <c r="E26" s="12"/>
      <c r="F26" s="12"/>
      <c r="G26" s="12"/>
      <c r="H26" s="12"/>
      <c r="I26" s="12"/>
      <c r="J26" s="12"/>
      <c r="K26" s="12"/>
      <c r="L26" s="12"/>
      <c r="M26" s="12"/>
      <c r="N26" s="12"/>
      <c r="O26" s="12"/>
    </row>
    <row r="27" customFormat="false" ht="15.75" hidden="false" customHeight="true" outlineLevel="0" collapsed="false">
      <c r="A27" s="19"/>
      <c r="B27" s="12"/>
      <c r="C27" s="12"/>
      <c r="D27" s="12"/>
      <c r="E27" s="12"/>
      <c r="F27" s="12"/>
      <c r="G27" s="12"/>
      <c r="H27" s="12"/>
      <c r="I27" s="12"/>
      <c r="J27" s="12"/>
      <c r="K27" s="12"/>
      <c r="L27" s="12"/>
      <c r="M27" s="12"/>
      <c r="N27" s="12"/>
      <c r="O27" s="12"/>
    </row>
    <row r="28" customFormat="false" ht="15.75" hidden="false" customHeight="true" outlineLevel="0" collapsed="false">
      <c r="A28" s="19"/>
      <c r="B28" s="12"/>
      <c r="C28" s="12"/>
      <c r="D28" s="12"/>
      <c r="E28" s="12"/>
      <c r="F28" s="12"/>
      <c r="G28" s="12"/>
      <c r="H28" s="12"/>
      <c r="I28" s="12"/>
      <c r="J28" s="12"/>
      <c r="K28" s="12"/>
      <c r="L28" s="12"/>
      <c r="M28" s="12"/>
      <c r="N28" s="12"/>
      <c r="O28" s="12"/>
    </row>
  </sheetData>
  <mergeCells count="1">
    <mergeCell ref="A1:O1"/>
  </mergeCells>
  <dataValidations count="2">
    <dataValidation allowBlank="true" errorStyle="stop" operator="between" showDropDown="false" showErrorMessage="false" showInputMessage="false" sqref="J6:J28" type="list">
      <formula1>"Y,N"</formula1>
      <formula2>0</formula2>
    </dataValidation>
    <dataValidation allowBlank="true" errorStyle="stop" operator="between" showDropDown="false" showErrorMessage="false" showInputMessage="false" sqref="L11:L28" type="list">
      <formula1>"Pass,Fail,Pending"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1" width="11.57"/>
    <col collapsed="false" customWidth="true" hidden="false" outlineLevel="0" max="2" min="2" style="1" width="24"/>
    <col collapsed="false" customWidth="true" hidden="false" outlineLevel="0" max="3" min="3" style="1" width="11"/>
    <col collapsed="false" customWidth="true" hidden="false" outlineLevel="0" max="4" min="4" style="1" width="14"/>
    <col collapsed="false" customWidth="true" hidden="false" outlineLevel="0" max="5" min="5" style="1" width="13"/>
    <col collapsed="false" customWidth="true" hidden="false" outlineLevel="0" max="6" min="6" style="1" width="16"/>
    <col collapsed="false" customWidth="true" hidden="false" outlineLevel="0" max="8" min="7" style="1" width="13"/>
    <col collapsed="false" customWidth="true" hidden="false" outlineLevel="0" max="11" min="9" style="1" width="10"/>
    <col collapsed="false" customWidth="true" hidden="false" outlineLevel="0" max="12" min="12" style="1" width="12"/>
    <col collapsed="false" customWidth="true" hidden="false" outlineLevel="0" max="13" min="13" style="1" width="15"/>
    <col collapsed="false" customWidth="true" hidden="false" outlineLevel="0" max="14" min="14" style="1" width="13"/>
    <col collapsed="false" customWidth="true" hidden="false" outlineLevel="0" max="15" min="15" style="1" width="17"/>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338</v>
      </c>
    </row>
    <row r="2" customFormat="false" ht="13.5" hidden="false" customHeight="true" outlineLevel="0" collapsed="false">
      <c r="A2" s="3" t="s">
        <v>339</v>
      </c>
    </row>
    <row r="4" customFormat="false" ht="30" hidden="false" customHeight="true" outlineLevel="0" collapsed="false">
      <c r="A4" s="18" t="s">
        <v>55</v>
      </c>
      <c r="B4" s="18" t="s">
        <v>340</v>
      </c>
      <c r="C4" s="18" t="s">
        <v>341</v>
      </c>
      <c r="D4" s="18" t="s">
        <v>342</v>
      </c>
      <c r="E4" s="18" t="s">
        <v>319</v>
      </c>
      <c r="F4" s="18" t="s">
        <v>343</v>
      </c>
      <c r="G4" s="18" t="s">
        <v>344</v>
      </c>
      <c r="H4" s="18" t="s">
        <v>345</v>
      </c>
      <c r="I4" s="18" t="s">
        <v>346</v>
      </c>
      <c r="J4" s="18" t="s">
        <v>347</v>
      </c>
      <c r="K4" s="18" t="s">
        <v>348</v>
      </c>
      <c r="L4" s="18" t="s">
        <v>349</v>
      </c>
      <c r="M4" s="18" t="s">
        <v>350</v>
      </c>
      <c r="N4" s="18" t="s">
        <v>351</v>
      </c>
      <c r="O4" s="18" t="s">
        <v>323</v>
      </c>
      <c r="P4" s="18" t="s">
        <v>154</v>
      </c>
      <c r="Q4" s="18" t="s">
        <v>155</v>
      </c>
    </row>
    <row r="5" customFormat="false" ht="15.75" hidden="false" customHeight="true" outlineLevel="0" collapsed="false">
      <c r="A5" s="19" t="n">
        <v>1</v>
      </c>
      <c r="B5" s="12"/>
      <c r="C5" s="12"/>
      <c r="D5" s="12"/>
      <c r="E5" s="12"/>
      <c r="F5" s="12"/>
      <c r="G5" s="12"/>
      <c r="H5" s="12"/>
      <c r="I5" s="12"/>
      <c r="J5" s="12"/>
      <c r="K5" s="12"/>
      <c r="L5" s="39" t="str">
        <f aca="false">IFERROR(IF(COUNT(I5:K5)=0,"",AVERAGE(I5:K5)),"")</f>
        <v/>
      </c>
      <c r="M5" s="40" t="str">
        <f aca="false">IFERROR(IF(OR(L5="",G5="",H5=""),"",L5/H5*POWER(10,G5)),"")</f>
        <v/>
      </c>
      <c r="N5" s="21" t="str">
        <f aca="false">IFERROR(IF(M5="","",LOG10(M5)),"")</f>
        <v/>
      </c>
      <c r="O5" s="12"/>
      <c r="P5" s="12"/>
      <c r="Q5" s="12"/>
    </row>
    <row r="6" customFormat="false" ht="15.75" hidden="false" customHeight="true" outlineLevel="0" collapsed="false">
      <c r="A6" s="19" t="n">
        <v>2</v>
      </c>
      <c r="B6" s="12"/>
      <c r="C6" s="12"/>
      <c r="D6" s="12"/>
      <c r="E6" s="12"/>
      <c r="F6" s="12"/>
      <c r="G6" s="12"/>
      <c r="H6" s="12"/>
      <c r="I6" s="12"/>
      <c r="J6" s="12"/>
      <c r="K6" s="12"/>
      <c r="L6" s="39" t="str">
        <f aca="false">IFERROR(IF(COUNT(I6:K6)=0,"",AVERAGE(I6:K6)),"")</f>
        <v/>
      </c>
      <c r="M6" s="40" t="str">
        <f aca="false">IFERROR(IF(OR(L6="",G6="",H6=""),"",L6/H6*POWER(10,G6)),"")</f>
        <v/>
      </c>
      <c r="N6" s="21" t="str">
        <f aca="false">IFERROR(IF(M6="","",LOG10(M6)),"")</f>
        <v/>
      </c>
      <c r="O6" s="12"/>
      <c r="P6" s="12"/>
      <c r="Q6" s="12"/>
    </row>
    <row r="7" customFormat="false" ht="15.75" hidden="false" customHeight="true" outlineLevel="0" collapsed="false">
      <c r="A7" s="19" t="n">
        <v>3</v>
      </c>
      <c r="B7" s="12"/>
      <c r="C7" s="12"/>
      <c r="D7" s="12"/>
      <c r="E7" s="12"/>
      <c r="F7" s="12"/>
      <c r="G7" s="12"/>
      <c r="H7" s="12"/>
      <c r="I7" s="12"/>
      <c r="J7" s="12"/>
      <c r="K7" s="12"/>
      <c r="L7" s="39" t="str">
        <f aca="false">IFERROR(IF(COUNT(I7:K7)=0,"",AVERAGE(I7:K7)),"")</f>
        <v/>
      </c>
      <c r="M7" s="40" t="str">
        <f aca="false">IFERROR(IF(OR(L7="",G7="",H7=""),"",L7/H7*POWER(10,G7)),"")</f>
        <v/>
      </c>
      <c r="N7" s="21" t="str">
        <f aca="false">IFERROR(IF(M7="","",LOG10(M7)),"")</f>
        <v/>
      </c>
      <c r="O7" s="12"/>
      <c r="P7" s="12"/>
      <c r="Q7" s="12"/>
    </row>
    <row r="8" customFormat="false" ht="15.75" hidden="false" customHeight="true" outlineLevel="0" collapsed="false">
      <c r="A8" s="19" t="n">
        <v>4</v>
      </c>
      <c r="B8" s="12"/>
      <c r="C8" s="12"/>
      <c r="D8" s="12"/>
      <c r="E8" s="12"/>
      <c r="F8" s="12"/>
      <c r="G8" s="12"/>
      <c r="H8" s="12"/>
      <c r="I8" s="12"/>
      <c r="J8" s="12"/>
      <c r="K8" s="12"/>
      <c r="L8" s="39" t="str">
        <f aca="false">IFERROR(IF(COUNT(I8:K8)=0,"",AVERAGE(I8:K8)),"")</f>
        <v/>
      </c>
      <c r="M8" s="40" t="str">
        <f aca="false">IFERROR(IF(OR(L8="",G8="",H8=""),"",L8/H8*POWER(10,G8)),"")</f>
        <v/>
      </c>
      <c r="N8" s="21" t="str">
        <f aca="false">IFERROR(IF(M8="","",LOG10(M8)),"")</f>
        <v/>
      </c>
      <c r="O8" s="12"/>
      <c r="P8" s="12"/>
      <c r="Q8" s="12"/>
    </row>
    <row r="9" customFormat="false" ht="15.75" hidden="false" customHeight="true" outlineLevel="0" collapsed="false">
      <c r="A9" s="19" t="n">
        <v>5</v>
      </c>
      <c r="B9" s="12"/>
      <c r="C9" s="12"/>
      <c r="D9" s="12"/>
      <c r="E9" s="12"/>
      <c r="F9" s="12"/>
      <c r="G9" s="12"/>
      <c r="H9" s="12"/>
      <c r="I9" s="12"/>
      <c r="J9" s="12"/>
      <c r="K9" s="12"/>
      <c r="L9" s="39" t="str">
        <f aca="false">IFERROR(IF(COUNT(I9:K9)=0,"",AVERAGE(I9:K9)),"")</f>
        <v/>
      </c>
      <c r="M9" s="40" t="str">
        <f aca="false">IFERROR(IF(OR(L9="",G9="",H9=""),"",L9/H9*POWER(10,G9)),"")</f>
        <v/>
      </c>
      <c r="N9" s="21" t="str">
        <f aca="false">IFERROR(IF(M9="","",LOG10(M9)),"")</f>
        <v/>
      </c>
      <c r="O9" s="12"/>
      <c r="P9" s="12"/>
      <c r="Q9" s="12"/>
    </row>
    <row r="10" customFormat="false" ht="15.75" hidden="false" customHeight="true" outlineLevel="0" collapsed="false">
      <c r="A10" s="19" t="n">
        <v>6</v>
      </c>
      <c r="B10" s="12"/>
      <c r="C10" s="12"/>
      <c r="D10" s="12"/>
      <c r="E10" s="12"/>
      <c r="F10" s="12"/>
      <c r="G10" s="12"/>
      <c r="H10" s="12"/>
      <c r="I10" s="12"/>
      <c r="J10" s="12"/>
      <c r="K10" s="12"/>
      <c r="L10" s="39" t="str">
        <f aca="false">IFERROR(IF(COUNT(I10:K10)=0,"",AVERAGE(I10:K10)),"")</f>
        <v/>
      </c>
      <c r="M10" s="40" t="str">
        <f aca="false">IFERROR(IF(OR(L10="",G10="",H10=""),"",L10/H10*POWER(10,G10)),"")</f>
        <v/>
      </c>
      <c r="N10" s="21" t="str">
        <f aca="false">IFERROR(IF(M10="","",LOG10(M10)),"")</f>
        <v/>
      </c>
      <c r="O10" s="12"/>
      <c r="P10" s="12"/>
      <c r="Q10" s="12"/>
    </row>
    <row r="11" customFormat="false" ht="15.75" hidden="false" customHeight="true" outlineLevel="0" collapsed="false">
      <c r="A11" s="19" t="n">
        <v>7</v>
      </c>
      <c r="B11" s="12"/>
      <c r="C11" s="12"/>
      <c r="D11" s="12"/>
      <c r="E11" s="12"/>
      <c r="F11" s="12"/>
      <c r="G11" s="12"/>
      <c r="H11" s="12"/>
      <c r="I11" s="12"/>
      <c r="J11" s="12"/>
      <c r="K11" s="12"/>
      <c r="L11" s="39" t="str">
        <f aca="false">IFERROR(IF(COUNT(I11:K11)=0,"",AVERAGE(I11:K11)),"")</f>
        <v/>
      </c>
      <c r="M11" s="40" t="str">
        <f aca="false">IFERROR(IF(OR(L11="",G11="",H11=""),"",L11/H11*POWER(10,G11)),"")</f>
        <v/>
      </c>
      <c r="N11" s="21" t="str">
        <f aca="false">IFERROR(IF(M11="","",LOG10(M11)),"")</f>
        <v/>
      </c>
      <c r="O11" s="12"/>
      <c r="P11" s="12"/>
      <c r="Q11" s="12"/>
    </row>
    <row r="12" customFormat="false" ht="15.75" hidden="false" customHeight="true" outlineLevel="0" collapsed="false">
      <c r="A12" s="19" t="n">
        <v>8</v>
      </c>
      <c r="B12" s="12"/>
      <c r="C12" s="12"/>
      <c r="D12" s="12"/>
      <c r="E12" s="12"/>
      <c r="F12" s="12"/>
      <c r="G12" s="12"/>
      <c r="H12" s="12"/>
      <c r="I12" s="12"/>
      <c r="J12" s="12"/>
      <c r="K12" s="12"/>
      <c r="L12" s="39" t="str">
        <f aca="false">IFERROR(IF(COUNT(I12:K12)=0,"",AVERAGE(I12:K12)),"")</f>
        <v/>
      </c>
      <c r="M12" s="40" t="str">
        <f aca="false">IFERROR(IF(OR(L12="",G12="",H12=""),"",L12/H12*POWER(10,G12)),"")</f>
        <v/>
      </c>
      <c r="N12" s="21" t="str">
        <f aca="false">IFERROR(IF(M12="","",LOG10(M12)),"")</f>
        <v/>
      </c>
      <c r="O12" s="12"/>
      <c r="P12" s="12"/>
      <c r="Q12" s="12"/>
    </row>
    <row r="13" customFormat="false" ht="15.75" hidden="false" customHeight="true" outlineLevel="0" collapsed="false">
      <c r="A13" s="19" t="n">
        <v>9</v>
      </c>
      <c r="B13" s="12"/>
      <c r="C13" s="12"/>
      <c r="D13" s="12"/>
      <c r="E13" s="12"/>
      <c r="F13" s="12"/>
      <c r="G13" s="12"/>
      <c r="H13" s="12"/>
      <c r="I13" s="12"/>
      <c r="J13" s="12"/>
      <c r="K13" s="12"/>
      <c r="L13" s="39" t="str">
        <f aca="false">IFERROR(IF(COUNT(I13:K13)=0,"",AVERAGE(I13:K13)),"")</f>
        <v/>
      </c>
      <c r="M13" s="40" t="str">
        <f aca="false">IFERROR(IF(OR(L13="",G13="",H13=""),"",L13/H13*POWER(10,G13)),"")</f>
        <v/>
      </c>
      <c r="N13" s="21" t="str">
        <f aca="false">IFERROR(IF(M13="","",LOG10(M13)),"")</f>
        <v/>
      </c>
      <c r="O13" s="12"/>
      <c r="P13" s="12"/>
      <c r="Q13" s="12"/>
    </row>
    <row r="14" customFormat="false" ht="15.75" hidden="false" customHeight="true" outlineLevel="0" collapsed="false">
      <c r="A14" s="19" t="n">
        <v>10</v>
      </c>
      <c r="B14" s="12"/>
      <c r="C14" s="12"/>
      <c r="D14" s="12"/>
      <c r="E14" s="12"/>
      <c r="F14" s="12"/>
      <c r="G14" s="12"/>
      <c r="H14" s="12"/>
      <c r="I14" s="12"/>
      <c r="J14" s="12"/>
      <c r="K14" s="12"/>
      <c r="L14" s="39" t="str">
        <f aca="false">IFERROR(IF(COUNT(I14:K14)=0,"",AVERAGE(I14:K14)),"")</f>
        <v/>
      </c>
      <c r="M14" s="40" t="str">
        <f aca="false">IFERROR(IF(OR(L14="",G14="",H14=""),"",L14/H14*POWER(10,G14)),"")</f>
        <v/>
      </c>
      <c r="N14" s="21" t="str">
        <f aca="false">IFERROR(IF(M14="","",LOG10(M14)),"")</f>
        <v/>
      </c>
      <c r="O14" s="12"/>
      <c r="P14" s="12"/>
      <c r="Q14" s="12"/>
    </row>
    <row r="15" customFormat="false" ht="15.75" hidden="false" customHeight="true" outlineLevel="0" collapsed="false">
      <c r="A15" s="19" t="n">
        <v>11</v>
      </c>
      <c r="B15" s="12"/>
      <c r="C15" s="12"/>
      <c r="D15" s="12"/>
      <c r="E15" s="12"/>
      <c r="F15" s="12"/>
      <c r="G15" s="12"/>
      <c r="H15" s="12"/>
      <c r="I15" s="12"/>
      <c r="J15" s="12"/>
      <c r="K15" s="12"/>
      <c r="L15" s="39" t="str">
        <f aca="false">IFERROR(IF(COUNT(I15:K15)=0,"",AVERAGE(I15:K15)),"")</f>
        <v/>
      </c>
      <c r="M15" s="40" t="str">
        <f aca="false">IFERROR(IF(OR(L15="",G15="",H15=""),"",L15/H15*POWER(10,G15)),"")</f>
        <v/>
      </c>
      <c r="N15" s="21" t="str">
        <f aca="false">IFERROR(IF(M15="","",LOG10(M15)),"")</f>
        <v/>
      </c>
      <c r="O15" s="12"/>
      <c r="P15" s="12"/>
      <c r="Q15" s="12"/>
    </row>
    <row r="16" customFormat="false" ht="15.75" hidden="false" customHeight="true" outlineLevel="0" collapsed="false">
      <c r="A16" s="19" t="n">
        <v>12</v>
      </c>
      <c r="B16" s="12"/>
      <c r="C16" s="12"/>
      <c r="D16" s="12"/>
      <c r="E16" s="12"/>
      <c r="F16" s="12"/>
      <c r="G16" s="12"/>
      <c r="H16" s="12"/>
      <c r="I16" s="12"/>
      <c r="J16" s="12"/>
      <c r="K16" s="12"/>
      <c r="L16" s="39" t="str">
        <f aca="false">IFERROR(IF(COUNT(I16:K16)=0,"",AVERAGE(I16:K16)),"")</f>
        <v/>
      </c>
      <c r="M16" s="40" t="str">
        <f aca="false">IFERROR(IF(OR(L16="",G16="",H16=""),"",L16/H16*POWER(10,G16)),"")</f>
        <v/>
      </c>
      <c r="N16" s="21" t="str">
        <f aca="false">IFERROR(IF(M16="","",LOG10(M16)),"")</f>
        <v/>
      </c>
      <c r="O16" s="12"/>
      <c r="P16" s="12"/>
      <c r="Q16" s="12"/>
    </row>
    <row r="17" customFormat="false" ht="15.75" hidden="false" customHeight="true" outlineLevel="0" collapsed="false">
      <c r="A17" s="19" t="n">
        <v>13</v>
      </c>
      <c r="B17" s="12"/>
      <c r="C17" s="12"/>
      <c r="D17" s="12"/>
      <c r="E17" s="12"/>
      <c r="F17" s="12"/>
      <c r="G17" s="12"/>
      <c r="H17" s="12"/>
      <c r="I17" s="12"/>
      <c r="J17" s="12"/>
      <c r="K17" s="12"/>
      <c r="L17" s="39" t="str">
        <f aca="false">IFERROR(IF(COUNT(I17:K17)=0,"",AVERAGE(I17:K17)),"")</f>
        <v/>
      </c>
      <c r="M17" s="40" t="str">
        <f aca="false">IFERROR(IF(OR(L17="",G17="",H17=""),"",L17/H17*POWER(10,G17)),"")</f>
        <v/>
      </c>
      <c r="N17" s="21" t="str">
        <f aca="false">IFERROR(IF(M17="","",LOG10(M17)),"")</f>
        <v/>
      </c>
      <c r="O17" s="12"/>
      <c r="P17" s="12"/>
      <c r="Q17" s="12"/>
    </row>
    <row r="18" customFormat="false" ht="15.75" hidden="false" customHeight="true" outlineLevel="0" collapsed="false">
      <c r="A18" s="19" t="n">
        <v>14</v>
      </c>
      <c r="B18" s="12"/>
      <c r="C18" s="12"/>
      <c r="D18" s="12"/>
      <c r="E18" s="12"/>
      <c r="F18" s="12"/>
      <c r="G18" s="12"/>
      <c r="H18" s="12"/>
      <c r="I18" s="12"/>
      <c r="J18" s="12"/>
      <c r="K18" s="12"/>
      <c r="L18" s="39" t="str">
        <f aca="false">IFERROR(IF(COUNT(I18:K18)=0,"",AVERAGE(I18:K18)),"")</f>
        <v/>
      </c>
      <c r="M18" s="40" t="str">
        <f aca="false">IFERROR(IF(OR(L18="",G18="",H18=""),"",L18/H18*POWER(10,G18)),"")</f>
        <v/>
      </c>
      <c r="N18" s="21" t="str">
        <f aca="false">IFERROR(IF(M18="","",LOG10(M18)),"")</f>
        <v/>
      </c>
      <c r="O18" s="12"/>
      <c r="P18" s="12"/>
      <c r="Q18" s="12"/>
    </row>
    <row r="19" customFormat="false" ht="15.75" hidden="false" customHeight="true" outlineLevel="0" collapsed="false">
      <c r="A19" s="19" t="n">
        <v>15</v>
      </c>
      <c r="B19" s="12"/>
      <c r="C19" s="12"/>
      <c r="D19" s="12"/>
      <c r="E19" s="12"/>
      <c r="F19" s="12"/>
      <c r="G19" s="12"/>
      <c r="H19" s="12"/>
      <c r="I19" s="12"/>
      <c r="J19" s="12"/>
      <c r="K19" s="12"/>
      <c r="L19" s="39" t="str">
        <f aca="false">IFERROR(IF(COUNT(I19:K19)=0,"",AVERAGE(I19:K19)),"")</f>
        <v/>
      </c>
      <c r="M19" s="40" t="str">
        <f aca="false">IFERROR(IF(OR(L19="",G19="",H19=""),"",L19/H19*POWER(10,G19)),"")</f>
        <v/>
      </c>
      <c r="N19" s="21" t="str">
        <f aca="false">IFERROR(IF(M19="","",LOG10(M19)),"")</f>
        <v/>
      </c>
      <c r="O19" s="12"/>
      <c r="P19" s="12"/>
      <c r="Q19" s="12"/>
    </row>
    <row r="20" customFormat="false" ht="15.75" hidden="false" customHeight="true" outlineLevel="0" collapsed="false">
      <c r="A20" s="19" t="n">
        <v>16</v>
      </c>
      <c r="B20" s="12"/>
      <c r="C20" s="12"/>
      <c r="D20" s="12"/>
      <c r="E20" s="12"/>
      <c r="F20" s="12"/>
      <c r="G20" s="12"/>
      <c r="H20" s="12"/>
      <c r="I20" s="12"/>
      <c r="J20" s="12"/>
      <c r="K20" s="12"/>
      <c r="L20" s="39" t="str">
        <f aca="false">IFERROR(IF(COUNT(I20:K20)=0,"",AVERAGE(I20:K20)),"")</f>
        <v/>
      </c>
      <c r="M20" s="40" t="str">
        <f aca="false">IFERROR(IF(OR(L20="",G20="",H20=""),"",L20/H20*POWER(10,G20)),"")</f>
        <v/>
      </c>
      <c r="N20" s="21" t="str">
        <f aca="false">IFERROR(IF(M20="","",LOG10(M20)),"")</f>
        <v/>
      </c>
      <c r="O20" s="12"/>
      <c r="P20" s="12"/>
      <c r="Q20" s="12"/>
    </row>
    <row r="21" customFormat="false" ht="15.75" hidden="false" customHeight="true" outlineLevel="0" collapsed="false">
      <c r="A21" s="19" t="n">
        <v>17</v>
      </c>
      <c r="B21" s="12"/>
      <c r="C21" s="12"/>
      <c r="D21" s="12"/>
      <c r="E21" s="12"/>
      <c r="F21" s="12"/>
      <c r="G21" s="12"/>
      <c r="H21" s="12"/>
      <c r="I21" s="12"/>
      <c r="J21" s="12"/>
      <c r="K21" s="12"/>
      <c r="L21" s="39" t="str">
        <f aca="false">IFERROR(IF(COUNT(I21:K21)=0,"",AVERAGE(I21:K21)),"")</f>
        <v/>
      </c>
      <c r="M21" s="40" t="str">
        <f aca="false">IFERROR(IF(OR(L21="",G21="",H21=""),"",L21/H21*POWER(10,G21)),"")</f>
        <v/>
      </c>
      <c r="N21" s="21" t="str">
        <f aca="false">IFERROR(IF(M21="","",LOG10(M21)),"")</f>
        <v/>
      </c>
      <c r="O21" s="12"/>
      <c r="P21" s="12"/>
      <c r="Q21" s="12"/>
    </row>
    <row r="22" customFormat="false" ht="15.75" hidden="false" customHeight="true" outlineLevel="0" collapsed="false">
      <c r="A22" s="19" t="n">
        <v>18</v>
      </c>
      <c r="B22" s="12"/>
      <c r="C22" s="12"/>
      <c r="D22" s="12"/>
      <c r="E22" s="12"/>
      <c r="F22" s="12"/>
      <c r="G22" s="12"/>
      <c r="H22" s="12"/>
      <c r="I22" s="12"/>
      <c r="J22" s="12"/>
      <c r="K22" s="12"/>
      <c r="L22" s="39" t="str">
        <f aca="false">IFERROR(IF(COUNT(I22:K22)=0,"",AVERAGE(I22:K22)),"")</f>
        <v/>
      </c>
      <c r="M22" s="40" t="str">
        <f aca="false">IFERROR(IF(OR(L22="",G22="",H22=""),"",L22/H22*POWER(10,G22)),"")</f>
        <v/>
      </c>
      <c r="N22" s="21" t="str">
        <f aca="false">IFERROR(IF(M22="","",LOG10(M22)),"")</f>
        <v/>
      </c>
      <c r="O22" s="12"/>
      <c r="P22" s="12"/>
      <c r="Q22" s="12"/>
    </row>
    <row r="23" customFormat="false" ht="15.75" hidden="false" customHeight="true" outlineLevel="0" collapsed="false">
      <c r="A23" s="19" t="n">
        <v>19</v>
      </c>
      <c r="B23" s="12"/>
      <c r="C23" s="12"/>
      <c r="D23" s="12"/>
      <c r="E23" s="12"/>
      <c r="F23" s="12"/>
      <c r="G23" s="12"/>
      <c r="H23" s="12"/>
      <c r="I23" s="12"/>
      <c r="J23" s="12"/>
      <c r="K23" s="12"/>
      <c r="L23" s="39" t="str">
        <f aca="false">IFERROR(IF(COUNT(I23:K23)=0,"",AVERAGE(I23:K23)),"")</f>
        <v/>
      </c>
      <c r="M23" s="40" t="str">
        <f aca="false">IFERROR(IF(OR(L23="",G23="",H23=""),"",L23/H23*POWER(10,G23)),"")</f>
        <v/>
      </c>
      <c r="N23" s="21" t="str">
        <f aca="false">IFERROR(IF(M23="","",LOG10(M23)),"")</f>
        <v/>
      </c>
      <c r="O23" s="12"/>
      <c r="P23" s="12"/>
      <c r="Q23" s="12"/>
    </row>
    <row r="24" customFormat="false" ht="15.75" hidden="false" customHeight="true" outlineLevel="0" collapsed="false">
      <c r="A24" s="19" t="n">
        <v>20</v>
      </c>
      <c r="B24" s="12"/>
      <c r="C24" s="12"/>
      <c r="D24" s="12"/>
      <c r="E24" s="12"/>
      <c r="F24" s="12"/>
      <c r="G24" s="12"/>
      <c r="H24" s="12"/>
      <c r="I24" s="12"/>
      <c r="J24" s="12"/>
      <c r="K24" s="12"/>
      <c r="L24" s="39" t="str">
        <f aca="false">IFERROR(IF(COUNT(I24:K24)=0,"",AVERAGE(I24:K24)),"")</f>
        <v/>
      </c>
      <c r="M24" s="40" t="str">
        <f aca="false">IFERROR(IF(OR(L24="",G24="",H24=""),"",L24/H24*POWER(10,G24)),"")</f>
        <v/>
      </c>
      <c r="N24" s="21" t="str">
        <f aca="false">IFERROR(IF(M24="","",LOG10(M24)),"")</f>
        <v/>
      </c>
      <c r="O24" s="12"/>
      <c r="P24" s="12"/>
      <c r="Q24" s="12"/>
    </row>
    <row r="25" customFormat="false" ht="15.75" hidden="false" customHeight="true" outlineLevel="0" collapsed="false">
      <c r="A25" s="19" t="n">
        <v>21</v>
      </c>
      <c r="B25" s="12"/>
      <c r="C25" s="12"/>
      <c r="D25" s="12"/>
      <c r="E25" s="12"/>
      <c r="F25" s="12"/>
      <c r="G25" s="12"/>
      <c r="H25" s="12"/>
      <c r="I25" s="12"/>
      <c r="J25" s="12"/>
      <c r="K25" s="12"/>
      <c r="L25" s="39" t="str">
        <f aca="false">IFERROR(IF(COUNT(I25:K25)=0,"",AVERAGE(I25:K25)),"")</f>
        <v/>
      </c>
      <c r="M25" s="40" t="str">
        <f aca="false">IFERROR(IF(OR(L25="",G25="",H25=""),"",L25/H25*POWER(10,G25)),"")</f>
        <v/>
      </c>
      <c r="N25" s="21" t="str">
        <f aca="false">IFERROR(IF(M25="","",LOG10(M25)),"")</f>
        <v/>
      </c>
      <c r="O25" s="12"/>
      <c r="P25" s="12"/>
      <c r="Q25" s="12"/>
    </row>
    <row r="26" customFormat="false" ht="15.75" hidden="false" customHeight="true" outlineLevel="0" collapsed="false">
      <c r="A26" s="19" t="n">
        <v>22</v>
      </c>
      <c r="B26" s="12"/>
      <c r="C26" s="12"/>
      <c r="D26" s="12"/>
      <c r="E26" s="12"/>
      <c r="F26" s="12"/>
      <c r="G26" s="12"/>
      <c r="H26" s="12"/>
      <c r="I26" s="12"/>
      <c r="J26" s="12"/>
      <c r="K26" s="12"/>
      <c r="L26" s="39" t="str">
        <f aca="false">IFERROR(IF(COUNT(I26:K26)=0,"",AVERAGE(I26:K26)),"")</f>
        <v/>
      </c>
      <c r="M26" s="40" t="str">
        <f aca="false">IFERROR(IF(OR(L26="",G26="",H26=""),"",L26/H26*POWER(10,G26)),"")</f>
        <v/>
      </c>
      <c r="N26" s="21" t="str">
        <f aca="false">IFERROR(IF(M26="","",LOG10(M26)),"")</f>
        <v/>
      </c>
      <c r="O26" s="12"/>
      <c r="P26" s="12"/>
      <c r="Q26" s="12"/>
    </row>
    <row r="27" customFormat="false" ht="15.75" hidden="false" customHeight="true" outlineLevel="0" collapsed="false">
      <c r="A27" s="19" t="n">
        <v>23</v>
      </c>
      <c r="B27" s="12"/>
      <c r="C27" s="12"/>
      <c r="D27" s="12"/>
      <c r="E27" s="12"/>
      <c r="F27" s="12"/>
      <c r="G27" s="12"/>
      <c r="H27" s="12"/>
      <c r="I27" s="12"/>
      <c r="J27" s="12"/>
      <c r="K27" s="12"/>
      <c r="L27" s="39" t="str">
        <f aca="false">IFERROR(IF(COUNT(I27:K27)=0,"",AVERAGE(I27:K27)),"")</f>
        <v/>
      </c>
      <c r="M27" s="40" t="str">
        <f aca="false">IFERROR(IF(OR(L27="",G27="",H27=""),"",L27/H27*POWER(10,G27)),"")</f>
        <v/>
      </c>
      <c r="N27" s="21" t="str">
        <f aca="false">IFERROR(IF(M27="","",LOG10(M27)),"")</f>
        <v/>
      </c>
      <c r="O27" s="12"/>
      <c r="P27" s="12"/>
      <c r="Q27" s="12"/>
    </row>
    <row r="28" customFormat="false" ht="15.75" hidden="false" customHeight="true" outlineLevel="0" collapsed="false">
      <c r="A28" s="19" t="n">
        <v>24</v>
      </c>
      <c r="B28" s="12"/>
      <c r="C28" s="12"/>
      <c r="D28" s="12"/>
      <c r="E28" s="12"/>
      <c r="F28" s="12"/>
      <c r="G28" s="12"/>
      <c r="H28" s="12"/>
      <c r="I28" s="12"/>
      <c r="J28" s="12"/>
      <c r="K28" s="12"/>
      <c r="L28" s="39" t="str">
        <f aca="false">IFERROR(IF(COUNT(I28:K28)=0,"",AVERAGE(I28:K28)),"")</f>
        <v/>
      </c>
      <c r="M28" s="40" t="str">
        <f aca="false">IFERROR(IF(OR(L28="",G28="",H28=""),"",L28/H28*POWER(10,G28)),"")</f>
        <v/>
      </c>
      <c r="N28" s="21" t="str">
        <f aca="false">IFERROR(IF(M28="","",LOG10(M28)),"")</f>
        <v/>
      </c>
      <c r="O28" s="12"/>
      <c r="P28" s="12"/>
      <c r="Q28" s="12"/>
    </row>
  </sheetData>
  <dataValidations count="1">
    <dataValidation allowBlank="true" errorStyle="stop" operator="between" showDropDown="false" showErrorMessage="false" showInputMessage="false" sqref="C5:C28" type="list">
      <formula1>"Spread,Streak"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6" activeCellId="0" sqref="G6"/>
    </sheetView>
  </sheetViews>
  <sheetFormatPr defaultColWidth="8.5703125" defaultRowHeight="15" zeroHeight="false" outlineLevelRow="0" outlineLevelCol="0"/>
  <cols>
    <col collapsed="false" customWidth="true" hidden="false" outlineLevel="0" max="1" min="1" style="1" width="14.42"/>
    <col collapsed="false" customWidth="true" hidden="false" outlineLevel="0" max="2" min="2" style="1" width="30"/>
    <col collapsed="false" customWidth="true" hidden="false" outlineLevel="0" max="3" min="3" style="1" width="12"/>
    <col collapsed="false" customWidth="true" hidden="false" outlineLevel="0" max="4" min="4" style="1" width="9"/>
    <col collapsed="false" customWidth="true" hidden="false" outlineLevel="0" max="6" min="5" style="1" width="14"/>
    <col collapsed="false" customWidth="true" hidden="false" outlineLevel="0" max="7" min="7" style="1" width="56"/>
    <col collapsed="false" customWidth="true" hidden="false" outlineLevel="0" max="8" min="8" style="1" width="18"/>
    <col collapsed="false" customWidth="true" hidden="false" outlineLevel="0" max="9" min="9" style="1" width="14"/>
  </cols>
  <sheetData>
    <row r="1" customFormat="false" ht="19.5" hidden="false" customHeight="true" outlineLevel="0" collapsed="false">
      <c r="A1" s="10" t="s">
        <v>352</v>
      </c>
      <c r="B1" s="10"/>
      <c r="C1" s="10"/>
      <c r="D1" s="10"/>
      <c r="E1" s="10"/>
      <c r="F1" s="10"/>
      <c r="G1" s="10"/>
      <c r="H1" s="10"/>
      <c r="I1" s="10"/>
    </row>
    <row r="2" customFormat="false" ht="13.5" hidden="false" customHeight="true" outlineLevel="0" collapsed="false">
      <c r="A2" s="3" t="s">
        <v>353</v>
      </c>
    </row>
    <row r="4" customFormat="false" ht="30" hidden="false" customHeight="true" outlineLevel="0" collapsed="false">
      <c r="A4" s="18" t="s">
        <v>55</v>
      </c>
      <c r="B4" s="18" t="s">
        <v>354</v>
      </c>
      <c r="C4" s="18" t="s">
        <v>188</v>
      </c>
      <c r="D4" s="18" t="s">
        <v>149</v>
      </c>
      <c r="E4" s="18" t="s">
        <v>355</v>
      </c>
      <c r="F4" s="18" t="s">
        <v>356</v>
      </c>
      <c r="G4" s="18" t="s">
        <v>357</v>
      </c>
      <c r="H4" s="18" t="s">
        <v>358</v>
      </c>
      <c r="I4" s="18" t="s">
        <v>359</v>
      </c>
    </row>
    <row r="5" customFormat="false" ht="15.75" hidden="false" customHeight="true" outlineLevel="0" collapsed="false">
      <c r="A5" s="19" t="n">
        <v>1</v>
      </c>
      <c r="B5" s="12" t="s">
        <v>360</v>
      </c>
      <c r="C5" s="12" t="s">
        <v>361</v>
      </c>
      <c r="D5" s="22" t="n">
        <v>0.375</v>
      </c>
      <c r="E5" s="12" t="s">
        <v>362</v>
      </c>
      <c r="F5" s="12" t="s">
        <v>363</v>
      </c>
      <c r="G5" s="12" t="s">
        <v>364</v>
      </c>
      <c r="H5" s="12"/>
      <c r="I5" s="12" t="s">
        <v>111</v>
      </c>
    </row>
    <row r="6" customFormat="false" ht="15.75" hidden="false" customHeight="true" outlineLevel="0" collapsed="false">
      <c r="A6" s="19" t="n">
        <v>2</v>
      </c>
      <c r="B6" s="12" t="s">
        <v>365</v>
      </c>
      <c r="C6" s="12" t="s">
        <v>366</v>
      </c>
      <c r="D6" s="22" t="n">
        <v>0.375</v>
      </c>
      <c r="E6" s="12" t="s">
        <v>362</v>
      </c>
      <c r="F6" s="12" t="s">
        <v>363</v>
      </c>
      <c r="G6" s="12" t="s">
        <v>364</v>
      </c>
      <c r="H6" s="12"/>
      <c r="I6" s="12" t="s">
        <v>111</v>
      </c>
    </row>
    <row r="7" customFormat="false" ht="15.75" hidden="false" customHeight="true" outlineLevel="0" collapsed="false">
      <c r="A7" s="19" t="n">
        <v>3</v>
      </c>
      <c r="B7" s="12" t="s">
        <v>367</v>
      </c>
      <c r="C7" s="12" t="s">
        <v>366</v>
      </c>
      <c r="D7" s="22" t="n">
        <v>0.46875</v>
      </c>
      <c r="E7" s="12" t="s">
        <v>362</v>
      </c>
      <c r="F7" s="12" t="s">
        <v>363</v>
      </c>
      <c r="G7" s="12" t="s">
        <v>368</v>
      </c>
      <c r="H7" s="12"/>
      <c r="I7" s="12" t="s">
        <v>111</v>
      </c>
    </row>
    <row r="8" customFormat="false" ht="15.75" hidden="false" customHeight="true" outlineLevel="0" collapsed="false">
      <c r="A8" s="19" t="n">
        <v>4</v>
      </c>
      <c r="B8" s="12" t="s">
        <v>369</v>
      </c>
      <c r="C8" s="12" t="s">
        <v>370</v>
      </c>
      <c r="D8" s="22" t="n">
        <v>0.427083333333333</v>
      </c>
      <c r="E8" s="12" t="s">
        <v>362</v>
      </c>
      <c r="F8" s="12" t="s">
        <v>363</v>
      </c>
      <c r="G8" s="12" t="s">
        <v>371</v>
      </c>
      <c r="H8" s="12"/>
      <c r="I8" s="12" t="s">
        <v>111</v>
      </c>
    </row>
    <row r="9" customFormat="false" ht="15.75" hidden="false" customHeight="true" outlineLevel="0" collapsed="false">
      <c r="A9" s="19" t="n">
        <v>5</v>
      </c>
      <c r="B9" s="12" t="s">
        <v>372</v>
      </c>
      <c r="C9" s="12" t="s">
        <v>370</v>
      </c>
      <c r="D9" s="22" t="n">
        <v>0.677083333333333</v>
      </c>
      <c r="E9" s="12" t="s">
        <v>362</v>
      </c>
      <c r="F9" s="12" t="s">
        <v>363</v>
      </c>
      <c r="G9" s="12" t="s">
        <v>371</v>
      </c>
      <c r="H9" s="12"/>
      <c r="I9" s="12" t="s">
        <v>111</v>
      </c>
    </row>
    <row r="10" customFormat="false" ht="15.75" hidden="false" customHeight="true" outlineLevel="0" collapsed="false">
      <c r="A10" s="19" t="n">
        <v>6</v>
      </c>
      <c r="B10" s="12" t="s">
        <v>373</v>
      </c>
      <c r="C10" s="12" t="s">
        <v>374</v>
      </c>
      <c r="D10" s="22" t="n">
        <v>0.385416666666667</v>
      </c>
      <c r="E10" s="12" t="s">
        <v>362</v>
      </c>
      <c r="F10" s="12" t="s">
        <v>363</v>
      </c>
      <c r="G10" s="12" t="s">
        <v>371</v>
      </c>
      <c r="H10" s="12"/>
      <c r="I10" s="12" t="s">
        <v>111</v>
      </c>
    </row>
    <row r="11" customFormat="false" ht="15.75" hidden="false" customHeight="true" outlineLevel="0" collapsed="false">
      <c r="A11" s="19" t="n">
        <v>7</v>
      </c>
      <c r="B11" s="12"/>
      <c r="C11" s="12"/>
      <c r="D11" s="12"/>
      <c r="E11" s="12"/>
      <c r="F11" s="12"/>
      <c r="G11" s="12"/>
      <c r="H11" s="12"/>
      <c r="I11" s="12"/>
    </row>
    <row r="12" customFormat="false" ht="15.75" hidden="false" customHeight="true" outlineLevel="0" collapsed="false">
      <c r="A12" s="19" t="n">
        <v>8</v>
      </c>
      <c r="B12" s="12"/>
      <c r="C12" s="12"/>
      <c r="D12" s="12"/>
      <c r="E12" s="12"/>
      <c r="F12" s="12"/>
      <c r="G12" s="12"/>
      <c r="H12" s="12"/>
      <c r="I12" s="12"/>
    </row>
    <row r="13" customFormat="false" ht="15.75" hidden="false" customHeight="true" outlineLevel="0" collapsed="false">
      <c r="A13" s="19" t="n">
        <v>9</v>
      </c>
      <c r="B13" s="12"/>
      <c r="C13" s="12"/>
      <c r="D13" s="12"/>
      <c r="E13" s="12"/>
      <c r="F13" s="12"/>
      <c r="G13" s="12"/>
      <c r="H13" s="12"/>
      <c r="I13" s="12"/>
    </row>
    <row r="14" customFormat="false" ht="15.75" hidden="false" customHeight="true" outlineLevel="0" collapsed="false">
      <c r="A14" s="19" t="n">
        <v>10</v>
      </c>
      <c r="B14" s="12"/>
      <c r="C14" s="12"/>
      <c r="D14" s="12"/>
      <c r="E14" s="12"/>
      <c r="F14" s="12"/>
      <c r="G14" s="12"/>
      <c r="H14" s="12"/>
      <c r="I14" s="12"/>
    </row>
    <row r="15" customFormat="false" ht="15.75" hidden="false" customHeight="true" outlineLevel="0" collapsed="false">
      <c r="A15" s="19" t="n">
        <v>11</v>
      </c>
      <c r="B15" s="12"/>
      <c r="C15" s="12"/>
      <c r="D15" s="12"/>
      <c r="E15" s="12"/>
      <c r="F15" s="12"/>
      <c r="G15" s="12"/>
      <c r="H15" s="12"/>
      <c r="I15" s="12"/>
    </row>
    <row r="16" customFormat="false" ht="15.75" hidden="false" customHeight="true" outlineLevel="0" collapsed="false">
      <c r="A16" s="19" t="n">
        <v>12</v>
      </c>
      <c r="B16" s="12"/>
      <c r="C16" s="12"/>
      <c r="D16" s="12"/>
      <c r="E16" s="12"/>
      <c r="F16" s="12"/>
      <c r="G16" s="12"/>
      <c r="H16" s="12"/>
      <c r="I16" s="12"/>
    </row>
    <row r="17" customFormat="false" ht="15.75" hidden="false" customHeight="true" outlineLevel="0" collapsed="false">
      <c r="A17" s="19" t="n">
        <v>13</v>
      </c>
      <c r="B17" s="12"/>
      <c r="C17" s="12"/>
      <c r="D17" s="12"/>
      <c r="E17" s="12"/>
      <c r="F17" s="12"/>
      <c r="G17" s="12"/>
      <c r="H17" s="12"/>
      <c r="I17" s="12"/>
    </row>
    <row r="18" customFormat="false" ht="15.75" hidden="false" customHeight="true" outlineLevel="0" collapsed="false">
      <c r="A18" s="19" t="n">
        <v>14</v>
      </c>
      <c r="B18" s="12"/>
      <c r="C18" s="12"/>
      <c r="D18" s="12"/>
      <c r="E18" s="12"/>
      <c r="F18" s="12"/>
      <c r="G18" s="12"/>
      <c r="H18" s="12"/>
      <c r="I18" s="12"/>
    </row>
    <row r="19" customFormat="false" ht="15.75" hidden="false" customHeight="true" outlineLevel="0" collapsed="false">
      <c r="A19" s="19" t="n">
        <v>15</v>
      </c>
      <c r="B19" s="12"/>
      <c r="C19" s="12"/>
      <c r="D19" s="12"/>
      <c r="E19" s="12"/>
      <c r="F19" s="12"/>
      <c r="G19" s="12"/>
      <c r="H19" s="12"/>
      <c r="I19" s="12"/>
    </row>
    <row r="20" customFormat="false" ht="15.75" hidden="false" customHeight="true" outlineLevel="0" collapsed="false">
      <c r="A20" s="19" t="n">
        <v>16</v>
      </c>
      <c r="B20" s="12"/>
      <c r="C20" s="12"/>
      <c r="D20" s="12"/>
      <c r="E20" s="12"/>
      <c r="F20" s="12"/>
      <c r="G20" s="12"/>
      <c r="H20" s="12"/>
      <c r="I20" s="12"/>
    </row>
    <row r="21" customFormat="false" ht="15.75" hidden="false" customHeight="true" outlineLevel="0" collapsed="false">
      <c r="A21" s="19" t="n">
        <v>17</v>
      </c>
      <c r="B21" s="12"/>
      <c r="C21" s="12"/>
      <c r="D21" s="12"/>
      <c r="E21" s="12"/>
      <c r="F21" s="12"/>
      <c r="G21" s="12"/>
      <c r="H21" s="12"/>
      <c r="I21" s="12"/>
    </row>
    <row r="22" customFormat="false" ht="15.75" hidden="false" customHeight="true" outlineLevel="0" collapsed="false">
      <c r="A22" s="19" t="n">
        <v>18</v>
      </c>
      <c r="B22" s="12"/>
      <c r="C22" s="12"/>
      <c r="D22" s="12"/>
      <c r="E22" s="12"/>
      <c r="F22" s="12"/>
      <c r="G22" s="12"/>
      <c r="H22" s="12"/>
      <c r="I22" s="12"/>
    </row>
    <row r="23" customFormat="false" ht="15.75" hidden="false" customHeight="true" outlineLevel="0" collapsed="false">
      <c r="A23" s="19" t="n">
        <v>19</v>
      </c>
      <c r="B23" s="12"/>
      <c r="C23" s="12"/>
      <c r="D23" s="12"/>
      <c r="E23" s="12"/>
      <c r="F23" s="12"/>
      <c r="G23" s="12"/>
      <c r="H23" s="12"/>
      <c r="I23" s="12"/>
    </row>
    <row r="24" customFormat="false" ht="15.75" hidden="false" customHeight="true" outlineLevel="0" collapsed="false">
      <c r="A24" s="19" t="n">
        <v>20</v>
      </c>
      <c r="B24" s="12"/>
      <c r="C24" s="12"/>
      <c r="D24" s="12"/>
      <c r="E24" s="12"/>
      <c r="F24" s="12"/>
      <c r="G24" s="12"/>
      <c r="H24" s="12"/>
      <c r="I24" s="12"/>
    </row>
    <row r="25" customFormat="false" ht="15.75" hidden="false" customHeight="true" outlineLevel="0" collapsed="false">
      <c r="A25" s="19" t="n">
        <v>21</v>
      </c>
      <c r="B25" s="12"/>
      <c r="C25" s="12"/>
      <c r="D25" s="12"/>
      <c r="E25" s="12"/>
      <c r="F25" s="12"/>
      <c r="G25" s="12"/>
      <c r="H25" s="12"/>
      <c r="I25" s="12"/>
    </row>
    <row r="26" customFormat="false" ht="15.75" hidden="false" customHeight="true" outlineLevel="0" collapsed="false">
      <c r="A26" s="19" t="n">
        <v>22</v>
      </c>
      <c r="B26" s="12"/>
      <c r="C26" s="12"/>
      <c r="D26" s="12"/>
      <c r="E26" s="12"/>
      <c r="F26" s="12"/>
      <c r="G26" s="12"/>
      <c r="H26" s="12"/>
      <c r="I26" s="12"/>
    </row>
    <row r="27" customFormat="false" ht="15.75" hidden="false" customHeight="true" outlineLevel="0" collapsed="false">
      <c r="A27" s="19" t="n">
        <v>23</v>
      </c>
      <c r="B27" s="12"/>
      <c r="C27" s="12"/>
      <c r="D27" s="12"/>
      <c r="E27" s="12"/>
      <c r="F27" s="12"/>
      <c r="G27" s="12"/>
      <c r="H27" s="12"/>
      <c r="I27" s="12"/>
    </row>
    <row r="28" customFormat="false" ht="15.75" hidden="false" customHeight="true" outlineLevel="0" collapsed="false">
      <c r="A28" s="19" t="n">
        <v>24</v>
      </c>
      <c r="B28" s="12"/>
      <c r="C28" s="12"/>
      <c r="D28" s="12"/>
      <c r="E28" s="12"/>
      <c r="F28" s="12"/>
      <c r="G28" s="12"/>
      <c r="H28" s="12"/>
      <c r="I28" s="12"/>
    </row>
  </sheetData>
  <mergeCells count="1">
    <mergeCell ref="A1:I1"/>
  </mergeCells>
  <dataValidations count="1">
    <dataValidation allowBlank="true" errorStyle="stop" operator="between" showDropDown="false" showErrorMessage="false" showInputMessage="false" sqref="E5:E28" type="list">
      <formula1>"Gram,Wet mount,Spore,Other"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N15" activeCellId="0" sqref="N15"/>
    </sheetView>
  </sheetViews>
  <sheetFormatPr defaultColWidth="8.5703125" defaultRowHeight="15" zeroHeight="false" outlineLevelRow="0" outlineLevelCol="0"/>
  <cols>
    <col collapsed="false" customWidth="true" hidden="false" outlineLevel="0" max="1" min="1" style="1" width="20.57"/>
    <col collapsed="false" customWidth="true" hidden="false" outlineLevel="0" max="2" min="2" style="1" width="18"/>
    <col collapsed="false" customWidth="true" hidden="false" outlineLevel="0" max="3" min="3" style="1" width="13"/>
    <col collapsed="false" customWidth="true" hidden="false" outlineLevel="0" max="4" min="4" style="1" width="20"/>
    <col collapsed="false" customWidth="true" hidden="false" outlineLevel="0" max="5" min="5" style="1" width="18"/>
    <col collapsed="false" customWidth="true" hidden="false" outlineLevel="0" max="6" min="6" style="1" width="21.14"/>
    <col collapsed="false" customWidth="true" hidden="false" outlineLevel="0" max="7" min="7" style="1" width="10.85"/>
    <col collapsed="false" customWidth="true" hidden="false" outlineLevel="0" max="8" min="8" style="1" width="12"/>
    <col collapsed="false" customWidth="true" hidden="false" outlineLevel="0" max="10" min="9" style="1" width="9"/>
    <col collapsed="false" customWidth="true" hidden="false" outlineLevel="0" max="11" min="11" style="1" width="22"/>
    <col collapsed="false" customWidth="true" hidden="false" outlineLevel="0" max="14" min="12" style="1" width="20"/>
    <col collapsed="false" customWidth="true" hidden="false" outlineLevel="0" max="15" min="15" style="1" width="16"/>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375</v>
      </c>
    </row>
    <row r="2" customFormat="false" ht="13.5" hidden="false" customHeight="true" outlineLevel="0" collapsed="false">
      <c r="A2" s="3"/>
    </row>
    <row r="4" customFormat="false" ht="36" hidden="false" customHeight="true" outlineLevel="0" collapsed="false">
      <c r="A4" s="18" t="s">
        <v>55</v>
      </c>
      <c r="B4" s="18" t="s">
        <v>376</v>
      </c>
      <c r="C4" s="18" t="s">
        <v>377</v>
      </c>
      <c r="D4" s="18" t="s">
        <v>378</v>
      </c>
      <c r="E4" s="18" t="s">
        <v>379</v>
      </c>
      <c r="F4" s="18" t="s">
        <v>380</v>
      </c>
      <c r="G4" s="18" t="s">
        <v>381</v>
      </c>
      <c r="H4" s="18" t="s">
        <v>188</v>
      </c>
      <c r="I4" s="18" t="s">
        <v>149</v>
      </c>
      <c r="J4" s="18" t="s">
        <v>151</v>
      </c>
      <c r="K4" s="18" t="s">
        <v>300</v>
      </c>
      <c r="L4" s="18" t="s">
        <v>302</v>
      </c>
      <c r="M4" s="18" t="s">
        <v>304</v>
      </c>
      <c r="N4" s="18" t="s">
        <v>306</v>
      </c>
      <c r="O4" s="18" t="s">
        <v>382</v>
      </c>
      <c r="P4" s="18" t="s">
        <v>154</v>
      </c>
      <c r="Q4" s="18" t="s">
        <v>155</v>
      </c>
    </row>
    <row r="5" customFormat="false" ht="15.75" hidden="false" customHeight="true" outlineLevel="0" collapsed="false">
      <c r="A5" s="19"/>
      <c r="B5" s="12"/>
      <c r="C5" s="12"/>
      <c r="D5" s="12"/>
      <c r="E5" s="12"/>
      <c r="F5" s="12"/>
      <c r="G5" s="12"/>
      <c r="H5" s="12"/>
      <c r="I5" s="22"/>
      <c r="J5" s="12"/>
      <c r="K5" s="12"/>
      <c r="L5" s="12"/>
      <c r="M5" s="12"/>
      <c r="N5" s="12"/>
      <c r="O5" s="12"/>
      <c r="P5" s="12"/>
      <c r="Q5" s="12"/>
    </row>
    <row r="6" customFormat="false" ht="15.75" hidden="false" customHeight="true" outlineLevel="0" collapsed="false">
      <c r="A6" s="19"/>
      <c r="B6" s="12"/>
      <c r="C6" s="12"/>
      <c r="D6" s="12"/>
      <c r="E6" s="12"/>
      <c r="F6" s="12"/>
      <c r="G6" s="12"/>
      <c r="H6" s="12"/>
      <c r="I6" s="22"/>
      <c r="J6" s="12"/>
      <c r="K6" s="12"/>
      <c r="L6" s="12"/>
      <c r="M6" s="12"/>
      <c r="N6" s="12"/>
      <c r="O6" s="12"/>
      <c r="P6" s="12"/>
      <c r="Q6" s="12"/>
    </row>
    <row r="7" customFormat="false" ht="15.75" hidden="false" customHeight="true" outlineLevel="0" collapsed="false">
      <c r="A7" s="19"/>
      <c r="B7" s="12"/>
      <c r="C7" s="12"/>
      <c r="D7" s="12"/>
      <c r="E7" s="12"/>
      <c r="F7" s="12"/>
      <c r="G7" s="12"/>
      <c r="H7" s="12"/>
      <c r="I7" s="22"/>
      <c r="J7" s="12"/>
      <c r="K7" s="12"/>
      <c r="L7" s="12"/>
      <c r="M7" s="12"/>
      <c r="N7" s="12"/>
      <c r="O7" s="12"/>
      <c r="P7" s="12"/>
      <c r="Q7" s="12"/>
    </row>
    <row r="8" customFormat="false" ht="15.75" hidden="false" customHeight="true" outlineLevel="0" collapsed="false">
      <c r="A8" s="19"/>
      <c r="B8" s="12"/>
      <c r="C8" s="12"/>
      <c r="D8" s="12"/>
      <c r="E8" s="12"/>
      <c r="F8" s="12"/>
      <c r="G8" s="12"/>
      <c r="H8" s="12"/>
      <c r="I8" s="22"/>
      <c r="J8" s="12"/>
      <c r="K8" s="12"/>
      <c r="L8" s="12"/>
      <c r="M8" s="12"/>
      <c r="N8" s="12"/>
      <c r="O8" s="12"/>
      <c r="P8" s="12"/>
      <c r="Q8" s="12"/>
    </row>
    <row r="9" customFormat="false" ht="15.75" hidden="false" customHeight="true" outlineLevel="0" collapsed="false">
      <c r="A9" s="19"/>
      <c r="B9" s="12"/>
      <c r="C9" s="12"/>
      <c r="D9" s="12"/>
      <c r="E9" s="12"/>
      <c r="F9" s="12"/>
      <c r="G9" s="12"/>
      <c r="H9" s="12"/>
      <c r="I9" s="22"/>
      <c r="J9" s="12"/>
      <c r="K9" s="12"/>
      <c r="L9" s="12"/>
      <c r="M9" s="12"/>
      <c r="N9" s="12"/>
      <c r="O9" s="12"/>
      <c r="P9" s="12"/>
      <c r="Q9" s="12"/>
    </row>
    <row r="10" customFormat="false" ht="15.75" hidden="false" customHeight="true" outlineLevel="0" collapsed="false">
      <c r="A10" s="19"/>
      <c r="B10" s="12"/>
      <c r="C10" s="12"/>
      <c r="D10" s="12"/>
      <c r="E10" s="12"/>
      <c r="F10" s="12"/>
      <c r="G10" s="12"/>
      <c r="H10" s="12"/>
      <c r="I10" s="22"/>
      <c r="J10" s="12"/>
      <c r="K10" s="12"/>
      <c r="L10" s="12"/>
      <c r="M10" s="12"/>
      <c r="N10" s="12"/>
      <c r="O10" s="12"/>
      <c r="P10" s="12"/>
      <c r="Q10" s="12"/>
    </row>
    <row r="11" customFormat="false" ht="15.75" hidden="false" customHeight="true" outlineLevel="0" collapsed="false">
      <c r="A11" s="19"/>
      <c r="B11" s="12"/>
      <c r="C11" s="12"/>
      <c r="D11" s="12"/>
      <c r="E11" s="12"/>
      <c r="F11" s="12"/>
      <c r="G11" s="12"/>
      <c r="H11" s="12"/>
      <c r="I11" s="12"/>
      <c r="J11" s="12"/>
      <c r="K11" s="12"/>
      <c r="L11" s="12"/>
      <c r="M11" s="12"/>
      <c r="N11" s="12"/>
      <c r="O11" s="12"/>
      <c r="P11" s="12"/>
      <c r="Q11" s="12"/>
    </row>
    <row r="12" customFormat="false" ht="15.75" hidden="false" customHeight="true" outlineLevel="0" collapsed="false">
      <c r="A12" s="19"/>
      <c r="B12" s="12"/>
      <c r="C12" s="12"/>
      <c r="D12" s="12"/>
      <c r="E12" s="12"/>
      <c r="F12" s="12"/>
      <c r="G12" s="12"/>
      <c r="H12" s="12"/>
      <c r="I12" s="12"/>
      <c r="J12" s="12"/>
      <c r="K12" s="12"/>
      <c r="L12" s="12"/>
      <c r="M12" s="12"/>
      <c r="N12" s="12"/>
      <c r="O12" s="12"/>
      <c r="P12" s="12"/>
      <c r="Q12" s="12"/>
    </row>
    <row r="13" customFormat="false" ht="15.75" hidden="false" customHeight="true" outlineLevel="0" collapsed="false">
      <c r="A13" s="19"/>
      <c r="B13" s="12"/>
      <c r="C13" s="12"/>
      <c r="D13" s="12"/>
      <c r="E13" s="12"/>
      <c r="F13" s="12"/>
      <c r="G13" s="12"/>
      <c r="H13" s="12"/>
      <c r="I13" s="12"/>
      <c r="J13" s="12"/>
      <c r="K13" s="12"/>
      <c r="L13" s="12"/>
      <c r="M13" s="12"/>
      <c r="N13" s="12"/>
      <c r="O13" s="12"/>
      <c r="P13" s="12"/>
      <c r="Q13" s="12"/>
    </row>
    <row r="14" customFormat="false" ht="15.75" hidden="false" customHeight="true" outlineLevel="0" collapsed="false">
      <c r="A14" s="19"/>
      <c r="B14" s="12"/>
      <c r="C14" s="12"/>
      <c r="D14" s="12"/>
      <c r="E14" s="12"/>
      <c r="F14" s="12"/>
      <c r="G14" s="12"/>
      <c r="H14" s="12"/>
      <c r="I14" s="12"/>
      <c r="J14" s="12"/>
      <c r="K14" s="12"/>
      <c r="L14" s="12"/>
      <c r="M14" s="12"/>
      <c r="N14" s="12"/>
      <c r="O14" s="12"/>
      <c r="P14" s="12"/>
      <c r="Q14" s="12"/>
    </row>
    <row r="15" customFormat="false" ht="15.75" hidden="false" customHeight="true" outlineLevel="0" collapsed="false">
      <c r="A15" s="19"/>
      <c r="B15" s="12"/>
      <c r="C15" s="12"/>
      <c r="D15" s="12"/>
      <c r="E15" s="12"/>
      <c r="F15" s="12"/>
      <c r="G15" s="12"/>
      <c r="H15" s="12"/>
      <c r="I15" s="12"/>
      <c r="J15" s="12"/>
      <c r="K15" s="12"/>
      <c r="L15" s="12"/>
      <c r="M15" s="12"/>
      <c r="N15" s="12"/>
      <c r="O15" s="12"/>
      <c r="P15" s="12"/>
      <c r="Q15" s="12"/>
    </row>
    <row r="16" customFormat="false" ht="15.75" hidden="false" customHeight="true" outlineLevel="0" collapsed="false">
      <c r="A16" s="19"/>
      <c r="B16" s="12"/>
      <c r="C16" s="12"/>
      <c r="D16" s="12"/>
      <c r="E16" s="12"/>
      <c r="F16" s="12"/>
      <c r="G16" s="12"/>
      <c r="H16" s="12"/>
      <c r="I16" s="12"/>
      <c r="J16" s="12"/>
      <c r="K16" s="12"/>
      <c r="L16" s="12"/>
      <c r="M16" s="12"/>
      <c r="N16" s="12"/>
      <c r="O16" s="12"/>
      <c r="P16" s="12"/>
      <c r="Q16" s="12"/>
    </row>
    <row r="17" customFormat="false" ht="15.75" hidden="false" customHeight="true" outlineLevel="0" collapsed="false">
      <c r="A17" s="19"/>
      <c r="B17" s="12"/>
      <c r="C17" s="12"/>
      <c r="D17" s="12"/>
      <c r="E17" s="12"/>
      <c r="F17" s="12"/>
      <c r="G17" s="12"/>
      <c r="H17" s="12"/>
      <c r="I17" s="12"/>
      <c r="J17" s="12"/>
      <c r="K17" s="12"/>
      <c r="L17" s="12"/>
      <c r="M17" s="12"/>
      <c r="N17" s="12"/>
      <c r="O17" s="12"/>
      <c r="P17" s="12"/>
      <c r="Q17" s="12"/>
    </row>
    <row r="18" customFormat="false" ht="15.75" hidden="false" customHeight="true" outlineLevel="0" collapsed="false">
      <c r="A18" s="19"/>
      <c r="B18" s="12"/>
      <c r="C18" s="12"/>
      <c r="D18" s="12"/>
      <c r="E18" s="12"/>
      <c r="F18" s="12"/>
      <c r="G18" s="12"/>
      <c r="H18" s="12"/>
      <c r="I18" s="12"/>
      <c r="J18" s="12"/>
      <c r="K18" s="12"/>
      <c r="L18" s="12"/>
      <c r="M18" s="12"/>
      <c r="N18" s="12"/>
      <c r="O18" s="12"/>
      <c r="P18" s="12"/>
      <c r="Q18" s="12"/>
    </row>
    <row r="19" customFormat="false" ht="15.75" hidden="false" customHeight="true" outlineLevel="0" collapsed="false">
      <c r="A19" s="19"/>
      <c r="B19" s="12"/>
      <c r="C19" s="12"/>
      <c r="D19" s="12"/>
      <c r="E19" s="12"/>
      <c r="F19" s="12"/>
      <c r="G19" s="12"/>
      <c r="H19" s="12"/>
      <c r="I19" s="12"/>
      <c r="J19" s="12"/>
      <c r="K19" s="12"/>
      <c r="L19" s="12"/>
      <c r="M19" s="12"/>
      <c r="N19" s="12"/>
      <c r="O19" s="12"/>
      <c r="P19" s="12"/>
      <c r="Q19" s="12"/>
    </row>
    <row r="20" customFormat="false" ht="15.75" hidden="false" customHeight="true" outlineLevel="0" collapsed="false">
      <c r="A20" s="19"/>
      <c r="B20" s="12"/>
      <c r="C20" s="12"/>
      <c r="D20" s="12"/>
      <c r="E20" s="12"/>
      <c r="F20" s="12"/>
      <c r="G20" s="12"/>
      <c r="H20" s="12"/>
      <c r="I20" s="12"/>
      <c r="J20" s="12"/>
      <c r="K20" s="12"/>
      <c r="L20" s="12"/>
      <c r="M20" s="12"/>
      <c r="N20" s="12"/>
      <c r="O20" s="12"/>
      <c r="P20" s="12"/>
      <c r="Q20" s="12"/>
    </row>
    <row r="21" customFormat="false" ht="15.75" hidden="false" customHeight="true" outlineLevel="0" collapsed="false">
      <c r="A21" s="19"/>
      <c r="B21" s="12"/>
      <c r="C21" s="12"/>
      <c r="D21" s="12"/>
      <c r="E21" s="12"/>
      <c r="F21" s="12"/>
      <c r="G21" s="12"/>
      <c r="H21" s="12"/>
      <c r="I21" s="12"/>
      <c r="J21" s="12"/>
      <c r="K21" s="12"/>
      <c r="L21" s="12"/>
      <c r="M21" s="12"/>
      <c r="N21" s="12"/>
      <c r="O21" s="12"/>
      <c r="P21" s="12"/>
      <c r="Q21" s="12"/>
    </row>
    <row r="22" customFormat="false" ht="15.75" hidden="false" customHeight="true" outlineLevel="0" collapsed="false">
      <c r="A22" s="19"/>
      <c r="B22" s="12"/>
      <c r="C22" s="12"/>
      <c r="D22" s="12"/>
      <c r="E22" s="12"/>
      <c r="F22" s="12"/>
      <c r="G22" s="12"/>
      <c r="H22" s="12"/>
      <c r="I22" s="12"/>
      <c r="J22" s="12"/>
      <c r="K22" s="12"/>
      <c r="L22" s="12"/>
      <c r="M22" s="12"/>
      <c r="N22" s="12"/>
      <c r="O22" s="12"/>
      <c r="P22" s="12"/>
      <c r="Q22" s="12"/>
    </row>
    <row r="23" customFormat="false" ht="15.75" hidden="false" customHeight="true" outlineLevel="0" collapsed="false">
      <c r="A23" s="19"/>
      <c r="B23" s="12"/>
      <c r="C23" s="12"/>
      <c r="D23" s="12"/>
      <c r="E23" s="12"/>
      <c r="F23" s="12"/>
      <c r="G23" s="12"/>
      <c r="H23" s="12"/>
      <c r="I23" s="12"/>
      <c r="J23" s="12"/>
      <c r="K23" s="12"/>
      <c r="L23" s="12"/>
      <c r="M23" s="12"/>
      <c r="N23" s="12"/>
      <c r="O23" s="12"/>
      <c r="P23" s="12"/>
      <c r="Q23" s="12"/>
    </row>
    <row r="24" customFormat="false" ht="15.75" hidden="false" customHeight="true" outlineLevel="0" collapsed="false">
      <c r="A24" s="19"/>
      <c r="B24" s="12"/>
      <c r="C24" s="12"/>
      <c r="D24" s="12"/>
      <c r="E24" s="12"/>
      <c r="F24" s="12"/>
      <c r="G24" s="12"/>
      <c r="H24" s="12"/>
      <c r="I24" s="12"/>
      <c r="J24" s="12"/>
      <c r="K24" s="12"/>
      <c r="L24" s="12"/>
      <c r="M24" s="12"/>
      <c r="N24" s="12"/>
      <c r="O24" s="12"/>
      <c r="P24" s="12"/>
      <c r="Q24" s="12"/>
    </row>
    <row r="25" customFormat="false" ht="15.75" hidden="false" customHeight="true" outlineLevel="0" collapsed="false">
      <c r="A25" s="19"/>
      <c r="B25" s="12"/>
      <c r="C25" s="12"/>
      <c r="D25" s="12"/>
      <c r="E25" s="12"/>
      <c r="F25" s="12"/>
      <c r="G25" s="12"/>
      <c r="H25" s="12"/>
      <c r="I25" s="12"/>
      <c r="J25" s="12"/>
      <c r="K25" s="12"/>
      <c r="L25" s="12"/>
      <c r="M25" s="12"/>
      <c r="N25" s="12"/>
      <c r="O25" s="12"/>
      <c r="P25" s="12"/>
      <c r="Q25" s="12"/>
    </row>
    <row r="26" customFormat="false" ht="15.75" hidden="false" customHeight="true" outlineLevel="0" collapsed="false">
      <c r="A26" s="19"/>
      <c r="B26" s="12"/>
      <c r="C26" s="12"/>
      <c r="D26" s="12"/>
      <c r="E26" s="12"/>
      <c r="F26" s="12"/>
      <c r="G26" s="12"/>
      <c r="H26" s="12"/>
      <c r="I26" s="12"/>
      <c r="J26" s="12"/>
      <c r="K26" s="12"/>
      <c r="L26" s="12"/>
      <c r="M26" s="12"/>
      <c r="N26" s="12"/>
      <c r="O26" s="12"/>
      <c r="P26" s="12"/>
      <c r="Q26" s="12"/>
    </row>
    <row r="27" customFormat="false" ht="15.75" hidden="false" customHeight="true" outlineLevel="0" collapsed="false">
      <c r="A27" s="19"/>
      <c r="B27" s="12"/>
      <c r="C27" s="12"/>
      <c r="D27" s="12"/>
      <c r="E27" s="12"/>
      <c r="F27" s="12"/>
      <c r="G27" s="12"/>
      <c r="H27" s="12"/>
      <c r="I27" s="12"/>
      <c r="J27" s="12"/>
      <c r="K27" s="12"/>
      <c r="L27" s="12"/>
      <c r="M27" s="12"/>
      <c r="N27" s="12"/>
      <c r="O27" s="12"/>
      <c r="P27" s="12"/>
      <c r="Q27" s="12"/>
    </row>
    <row r="28" customFormat="false" ht="15.75" hidden="false" customHeight="true" outlineLevel="0" collapsed="false">
      <c r="A28" s="19"/>
      <c r="B28" s="12"/>
      <c r="C28" s="12"/>
      <c r="D28" s="12"/>
      <c r="E28" s="12"/>
      <c r="F28" s="12"/>
      <c r="G28" s="12"/>
      <c r="H28" s="12"/>
      <c r="I28" s="12"/>
      <c r="J28" s="12"/>
      <c r="K28" s="12"/>
      <c r="L28" s="12"/>
      <c r="M28" s="12"/>
      <c r="N28" s="12"/>
      <c r="O28" s="12"/>
      <c r="P28" s="12"/>
      <c r="Q28" s="12"/>
    </row>
  </sheetData>
  <dataValidations count="1">
    <dataValidation allowBlank="true" errorStyle="stop" operator="between" showDropDown="false" showErrorMessage="false" showInputMessage="false" sqref="C5:C28" type="list">
      <formula1>"RTD,Pellet,Other"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6" activeCellId="0" sqref="D6"/>
    </sheetView>
  </sheetViews>
  <sheetFormatPr defaultColWidth="8.5703125" defaultRowHeight="15" zeroHeight="false" outlineLevelRow="0" outlineLevelCol="0"/>
  <cols>
    <col collapsed="false" customWidth="true" hidden="true" outlineLevel="0" max="1" min="1" style="1" width="7.71"/>
    <col collapsed="false" customWidth="true" hidden="false" outlineLevel="0" max="2" min="2" style="1" width="19.42"/>
    <col collapsed="false" customWidth="true" hidden="false" outlineLevel="0" max="3" min="3" style="1" width="14"/>
    <col collapsed="false" customWidth="true" hidden="false" outlineLevel="0" max="5" min="4" style="1" width="20"/>
    <col collapsed="false" customWidth="true" hidden="false" outlineLevel="0" max="6" min="6" style="1" width="12"/>
    <col collapsed="false" customWidth="true" hidden="false" outlineLevel="0" max="7" min="7" style="1" width="13"/>
    <col collapsed="false" customWidth="true" hidden="false" outlineLevel="0" max="8" min="8" style="1" width="12"/>
    <col collapsed="false" customWidth="true" hidden="false" outlineLevel="0" max="9" min="9" style="1" width="28"/>
    <col collapsed="false" customWidth="true" hidden="false" outlineLevel="0" max="10" min="10" style="1" width="24"/>
    <col collapsed="false" customWidth="true" hidden="false" outlineLevel="0" max="11" min="11" style="1" width="28"/>
    <col collapsed="false" customWidth="true" hidden="false" outlineLevel="0" max="12" min="12" style="1" width="14"/>
  </cols>
  <sheetData>
    <row r="1" customFormat="false" ht="19.5" hidden="false" customHeight="true" outlineLevel="0" collapsed="false">
      <c r="A1" s="10" t="s">
        <v>383</v>
      </c>
      <c r="B1" s="10"/>
      <c r="C1" s="10"/>
      <c r="D1" s="10"/>
      <c r="E1" s="10"/>
      <c r="F1" s="10"/>
      <c r="G1" s="10"/>
      <c r="H1" s="10"/>
      <c r="I1" s="10"/>
      <c r="J1" s="10"/>
      <c r="K1" s="10"/>
      <c r="L1" s="10"/>
    </row>
    <row r="2" customFormat="false" ht="13.5" hidden="false" customHeight="true" outlineLevel="0" collapsed="false">
      <c r="A2" s="3" t="s">
        <v>384</v>
      </c>
    </row>
    <row r="4" customFormat="false" ht="22.5" hidden="false" customHeight="true" outlineLevel="0" collapsed="false">
      <c r="A4" s="18" t="s">
        <v>55</v>
      </c>
      <c r="B4" s="18" t="s">
        <v>3</v>
      </c>
      <c r="C4" s="18" t="s">
        <v>385</v>
      </c>
      <c r="D4" s="18" t="s">
        <v>386</v>
      </c>
      <c r="E4" s="18" t="s">
        <v>387</v>
      </c>
      <c r="F4" s="18" t="s">
        <v>388</v>
      </c>
      <c r="G4" s="18" t="s">
        <v>389</v>
      </c>
      <c r="H4" s="18" t="s">
        <v>390</v>
      </c>
      <c r="I4" s="18" t="s">
        <v>391</v>
      </c>
      <c r="J4" s="18" t="s">
        <v>392</v>
      </c>
      <c r="K4" s="18" t="s">
        <v>393</v>
      </c>
      <c r="L4" s="18" t="s">
        <v>155</v>
      </c>
    </row>
    <row r="5" customFormat="false" ht="15.75" hidden="false" customHeight="true" outlineLevel="0" collapsed="false">
      <c r="A5" s="19" t="n">
        <v>1</v>
      </c>
      <c r="B5" s="12"/>
      <c r="C5" s="12"/>
      <c r="D5" s="12"/>
      <c r="E5" s="12"/>
      <c r="F5" s="12"/>
      <c r="G5" s="12"/>
      <c r="H5" s="12"/>
      <c r="I5" s="12"/>
      <c r="J5" s="12"/>
      <c r="K5" s="12"/>
      <c r="L5" s="12"/>
    </row>
    <row r="6" customFormat="false" ht="15.75" hidden="false" customHeight="true" outlineLevel="0" collapsed="false">
      <c r="A6" s="19" t="n">
        <v>2</v>
      </c>
      <c r="B6" s="12"/>
      <c r="C6" s="12"/>
      <c r="D6" s="12"/>
      <c r="E6" s="12"/>
      <c r="F6" s="12"/>
      <c r="G6" s="12"/>
      <c r="H6" s="12"/>
      <c r="I6" s="12"/>
      <c r="J6" s="12"/>
      <c r="K6" s="12"/>
      <c r="L6" s="12"/>
    </row>
    <row r="7" customFormat="false" ht="15.75" hidden="false" customHeight="true" outlineLevel="0" collapsed="false">
      <c r="A7" s="19" t="n">
        <v>3</v>
      </c>
      <c r="B7" s="12"/>
      <c r="C7" s="12"/>
      <c r="D7" s="12"/>
      <c r="E7" s="12"/>
      <c r="F7" s="12"/>
      <c r="G7" s="12"/>
      <c r="H7" s="12"/>
      <c r="I7" s="12"/>
      <c r="J7" s="12"/>
      <c r="K7" s="12"/>
      <c r="L7" s="12"/>
    </row>
    <row r="8" customFormat="false" ht="15.75" hidden="false" customHeight="true" outlineLevel="0" collapsed="false">
      <c r="A8" s="19" t="n">
        <v>4</v>
      </c>
      <c r="B8" s="12"/>
      <c r="C8" s="12"/>
      <c r="D8" s="12"/>
      <c r="E8" s="12"/>
      <c r="F8" s="12"/>
      <c r="G8" s="12"/>
      <c r="H8" s="12"/>
      <c r="I8" s="12"/>
      <c r="J8" s="12"/>
      <c r="K8" s="12"/>
      <c r="L8" s="12"/>
    </row>
    <row r="9" customFormat="false" ht="15.75" hidden="false" customHeight="true" outlineLevel="0" collapsed="false">
      <c r="A9" s="19" t="n">
        <v>5</v>
      </c>
      <c r="B9" s="12"/>
      <c r="C9" s="12"/>
      <c r="D9" s="12"/>
      <c r="E9" s="12"/>
      <c r="F9" s="12"/>
      <c r="G9" s="12"/>
      <c r="H9" s="12"/>
      <c r="I9" s="12"/>
      <c r="J9" s="12"/>
      <c r="K9" s="12"/>
      <c r="L9" s="12"/>
    </row>
    <row r="10" customFormat="false" ht="15.75" hidden="false" customHeight="true" outlineLevel="0" collapsed="false">
      <c r="A10" s="19" t="n">
        <v>6</v>
      </c>
      <c r="B10" s="12"/>
      <c r="C10" s="12"/>
      <c r="D10" s="12"/>
      <c r="E10" s="12"/>
      <c r="F10" s="12"/>
      <c r="G10" s="12"/>
      <c r="H10" s="12"/>
      <c r="I10" s="12"/>
      <c r="J10" s="12"/>
      <c r="K10" s="12"/>
      <c r="L10" s="12"/>
    </row>
    <row r="11" customFormat="false" ht="15.75" hidden="false" customHeight="true" outlineLevel="0" collapsed="false">
      <c r="A11" s="19" t="n">
        <v>7</v>
      </c>
      <c r="B11" s="12"/>
      <c r="C11" s="12"/>
      <c r="D11" s="12"/>
      <c r="E11" s="12"/>
      <c r="F11" s="12"/>
      <c r="G11" s="12"/>
      <c r="H11" s="12"/>
      <c r="I11" s="12"/>
      <c r="J11" s="12"/>
      <c r="K11" s="12"/>
      <c r="L11" s="12"/>
    </row>
    <row r="12" customFormat="false" ht="15.75" hidden="false" customHeight="true" outlineLevel="0" collapsed="false">
      <c r="A12" s="19" t="n">
        <v>8</v>
      </c>
      <c r="B12" s="12"/>
      <c r="C12" s="12"/>
      <c r="D12" s="12"/>
      <c r="E12" s="12"/>
      <c r="F12" s="12"/>
      <c r="G12" s="12"/>
      <c r="H12" s="12"/>
      <c r="I12" s="12"/>
      <c r="J12" s="12"/>
      <c r="K12" s="12"/>
      <c r="L12" s="12"/>
    </row>
    <row r="13" customFormat="false" ht="15.75" hidden="false" customHeight="true" outlineLevel="0" collapsed="false">
      <c r="A13" s="19" t="n">
        <v>9</v>
      </c>
      <c r="B13" s="12"/>
      <c r="C13" s="12"/>
      <c r="D13" s="12"/>
      <c r="E13" s="12"/>
      <c r="F13" s="12"/>
      <c r="G13" s="12"/>
      <c r="H13" s="12"/>
      <c r="I13" s="12"/>
      <c r="J13" s="12"/>
      <c r="K13" s="12"/>
      <c r="L13" s="12"/>
    </row>
    <row r="14" customFormat="false" ht="15.75" hidden="false" customHeight="true" outlineLevel="0" collapsed="false">
      <c r="A14" s="19" t="n">
        <v>10</v>
      </c>
      <c r="B14" s="12"/>
      <c r="C14" s="12"/>
      <c r="D14" s="12"/>
      <c r="E14" s="12"/>
      <c r="F14" s="12"/>
      <c r="G14" s="12"/>
      <c r="H14" s="12"/>
      <c r="I14" s="12"/>
      <c r="J14" s="12"/>
      <c r="K14" s="12"/>
      <c r="L14" s="12"/>
    </row>
    <row r="15" customFormat="false" ht="15.75" hidden="false" customHeight="true" outlineLevel="0" collapsed="false">
      <c r="A15" s="19" t="n">
        <v>11</v>
      </c>
      <c r="B15" s="12"/>
      <c r="C15" s="12"/>
      <c r="D15" s="12"/>
      <c r="E15" s="12"/>
      <c r="F15" s="12"/>
      <c r="G15" s="12"/>
      <c r="H15" s="12"/>
      <c r="I15" s="12"/>
      <c r="J15" s="12"/>
      <c r="K15" s="12"/>
      <c r="L15" s="12"/>
    </row>
    <row r="16" customFormat="false" ht="15.75" hidden="false" customHeight="true" outlineLevel="0" collapsed="false">
      <c r="A16" s="19" t="n">
        <v>12</v>
      </c>
      <c r="B16" s="12"/>
      <c r="C16" s="12"/>
      <c r="D16" s="12"/>
      <c r="E16" s="12"/>
      <c r="F16" s="12"/>
      <c r="G16" s="12"/>
      <c r="H16" s="12"/>
      <c r="I16" s="12"/>
      <c r="J16" s="12"/>
      <c r="K16" s="12"/>
      <c r="L16" s="12"/>
    </row>
    <row r="17" customFormat="false" ht="15.75" hidden="false" customHeight="true" outlineLevel="0" collapsed="false">
      <c r="A17" s="19" t="n">
        <v>13</v>
      </c>
      <c r="B17" s="12"/>
      <c r="C17" s="12"/>
      <c r="D17" s="12"/>
      <c r="E17" s="12"/>
      <c r="F17" s="12"/>
      <c r="G17" s="12"/>
      <c r="H17" s="12"/>
      <c r="I17" s="12"/>
      <c r="J17" s="12"/>
      <c r="K17" s="12"/>
      <c r="L17" s="12"/>
    </row>
    <row r="18" customFormat="false" ht="15.75" hidden="false" customHeight="true" outlineLevel="0" collapsed="false">
      <c r="A18" s="19" t="n">
        <v>14</v>
      </c>
      <c r="B18" s="12"/>
      <c r="C18" s="12"/>
      <c r="D18" s="12"/>
      <c r="E18" s="12"/>
      <c r="F18" s="12"/>
      <c r="G18" s="12"/>
      <c r="H18" s="12"/>
      <c r="I18" s="12"/>
      <c r="J18" s="12"/>
      <c r="K18" s="12"/>
      <c r="L18" s="12"/>
    </row>
    <row r="19" customFormat="false" ht="15.75" hidden="false" customHeight="true" outlineLevel="0" collapsed="false">
      <c r="A19" s="19" t="n">
        <v>15</v>
      </c>
      <c r="B19" s="12"/>
      <c r="C19" s="12"/>
      <c r="D19" s="12"/>
      <c r="E19" s="12"/>
      <c r="F19" s="12"/>
      <c r="G19" s="12"/>
      <c r="H19" s="12"/>
      <c r="I19" s="12"/>
      <c r="J19" s="12"/>
      <c r="K19" s="12"/>
      <c r="L19" s="12"/>
    </row>
    <row r="20" customFormat="false" ht="15.75" hidden="false" customHeight="true" outlineLevel="0" collapsed="false">
      <c r="A20" s="19" t="n">
        <v>16</v>
      </c>
      <c r="B20" s="12"/>
      <c r="C20" s="12"/>
      <c r="D20" s="12"/>
      <c r="E20" s="12"/>
      <c r="F20" s="12"/>
      <c r="G20" s="12"/>
      <c r="H20" s="12"/>
      <c r="I20" s="12"/>
      <c r="J20" s="12"/>
      <c r="K20" s="12"/>
      <c r="L20" s="12"/>
    </row>
  </sheetData>
  <mergeCells count="1">
    <mergeCell ref="A1:L1"/>
  </mergeCells>
  <dataValidations count="3">
    <dataValidation allowBlank="true" errorStyle="stop" operator="between" showDropDown="false" showErrorMessage="false" showInputMessage="false" sqref="F5:F20" type="list">
      <formula1>"Positive,Negative"</formula1>
      <formula2>0</formula2>
    </dataValidation>
    <dataValidation allowBlank="true" errorStyle="stop" operator="between" showDropDown="false" showErrorMessage="false" showInputMessage="false" sqref="G5:G20" type="list">
      <formula1>"Motile,Non-motile"</formula1>
      <formula2>0</formula2>
    </dataValidation>
    <dataValidation allowBlank="true" errorStyle="stop" operator="between" showDropDown="false" showErrorMessage="false" showInputMessage="false" sqref="H5:H20" type="list">
      <formula1>"Growth,No growth"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703125" defaultRowHeight="15" zeroHeight="false" outlineLevelRow="0" outlineLevelCol="0"/>
  <cols>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40"/>
    <col collapsed="false" customWidth="true" hidden="false" outlineLevel="0" max="6" min="6" style="1" width="18"/>
    <col collapsed="false" customWidth="true" hidden="false" outlineLevel="0" max="8" min="7" style="1" width="30"/>
    <col collapsed="false" customWidth="true" hidden="false" outlineLevel="0" max="9" min="9" style="1" width="18"/>
    <col collapsed="false" customWidth="true" hidden="false" outlineLevel="0" max="10" min="10" style="1" width="14"/>
  </cols>
  <sheetData>
    <row r="1" customFormat="false" ht="19.5" hidden="false" customHeight="true" outlineLevel="0" collapsed="false">
      <c r="A1" s="10" t="s">
        <v>394</v>
      </c>
      <c r="B1" s="10"/>
      <c r="C1" s="10"/>
      <c r="D1" s="10"/>
      <c r="E1" s="10"/>
      <c r="F1" s="10"/>
      <c r="G1" s="10"/>
      <c r="H1" s="10"/>
      <c r="I1" s="10"/>
      <c r="J1" s="10"/>
    </row>
    <row r="2" customFormat="false" ht="13.5" hidden="false" customHeight="true" outlineLevel="0" collapsed="false">
      <c r="A2" s="3" t="s">
        <v>395</v>
      </c>
    </row>
    <row r="4" customFormat="false" ht="30" hidden="false" customHeight="true" outlineLevel="0" collapsed="false">
      <c r="A4" s="18" t="s">
        <v>55</v>
      </c>
      <c r="B4" s="18" t="s">
        <v>396</v>
      </c>
      <c r="C4" s="18" t="s">
        <v>188</v>
      </c>
      <c r="D4" s="18" t="s">
        <v>149</v>
      </c>
      <c r="E4" s="18" t="s">
        <v>397</v>
      </c>
      <c r="F4" s="18" t="s">
        <v>398</v>
      </c>
      <c r="G4" s="18" t="s">
        <v>399</v>
      </c>
      <c r="H4" s="18" t="s">
        <v>400</v>
      </c>
      <c r="I4" s="18" t="s">
        <v>401</v>
      </c>
      <c r="J4" s="18" t="s">
        <v>155</v>
      </c>
    </row>
    <row r="5" customFormat="false" ht="15.75" hidden="false" customHeight="true" outlineLevel="0" collapsed="false">
      <c r="A5" s="19" t="n">
        <v>1</v>
      </c>
      <c r="B5" s="12" t="s">
        <v>402</v>
      </c>
      <c r="C5" s="12" t="s">
        <v>197</v>
      </c>
      <c r="D5" s="12" t="s">
        <v>403</v>
      </c>
      <c r="E5" s="12" t="s">
        <v>404</v>
      </c>
      <c r="F5" s="12" t="s">
        <v>403</v>
      </c>
      <c r="G5" s="12" t="s">
        <v>405</v>
      </c>
      <c r="H5" s="12" t="s">
        <v>406</v>
      </c>
      <c r="I5" s="12" t="s">
        <v>6</v>
      </c>
      <c r="J5" s="12" t="s">
        <v>176</v>
      </c>
    </row>
    <row r="6" customFormat="false" ht="15.75" hidden="false" customHeight="true" outlineLevel="0" collapsed="false">
      <c r="A6" s="19" t="n">
        <v>2</v>
      </c>
      <c r="B6" s="12" t="s">
        <v>407</v>
      </c>
      <c r="C6" s="12" t="s">
        <v>197</v>
      </c>
      <c r="D6" s="12" t="s">
        <v>403</v>
      </c>
      <c r="E6" s="12" t="s">
        <v>408</v>
      </c>
      <c r="F6" s="12" t="s">
        <v>403</v>
      </c>
      <c r="G6" s="12" t="s">
        <v>68</v>
      </c>
      <c r="H6" s="12" t="s">
        <v>409</v>
      </c>
      <c r="I6" s="12" t="s">
        <v>6</v>
      </c>
      <c r="J6" s="12" t="s">
        <v>176</v>
      </c>
    </row>
    <row r="7" customFormat="false" ht="15.75" hidden="false" customHeight="true" outlineLevel="0" collapsed="false">
      <c r="A7" s="19" t="n">
        <v>3</v>
      </c>
      <c r="B7" s="12" t="s">
        <v>410</v>
      </c>
      <c r="C7" s="12" t="s">
        <v>197</v>
      </c>
      <c r="D7" s="12" t="s">
        <v>403</v>
      </c>
      <c r="E7" s="12" t="s">
        <v>411</v>
      </c>
      <c r="F7" s="12" t="s">
        <v>80</v>
      </c>
      <c r="G7" s="12" t="s">
        <v>68</v>
      </c>
      <c r="H7" s="12" t="s">
        <v>412</v>
      </c>
      <c r="I7" s="12" t="s">
        <v>6</v>
      </c>
      <c r="J7" s="12" t="s">
        <v>176</v>
      </c>
    </row>
    <row r="8" customFormat="false" ht="15.75" hidden="false" customHeight="true" outlineLevel="0" collapsed="false">
      <c r="A8" s="19" t="n">
        <v>4</v>
      </c>
      <c r="B8" s="12" t="s">
        <v>413</v>
      </c>
      <c r="C8" s="12" t="s">
        <v>197</v>
      </c>
      <c r="D8" s="12" t="s">
        <v>403</v>
      </c>
      <c r="E8" s="12" t="s">
        <v>414</v>
      </c>
      <c r="F8" s="12" t="s">
        <v>80</v>
      </c>
      <c r="G8" s="12" t="s">
        <v>68</v>
      </c>
      <c r="H8" s="12" t="s">
        <v>415</v>
      </c>
      <c r="I8" s="12" t="s">
        <v>6</v>
      </c>
      <c r="J8" s="12" t="s">
        <v>176</v>
      </c>
    </row>
    <row r="9" customFormat="false" ht="15.75" hidden="false" customHeight="true" outlineLevel="0" collapsed="false">
      <c r="A9" s="19" t="n">
        <v>5</v>
      </c>
      <c r="B9" s="12" t="s">
        <v>416</v>
      </c>
      <c r="C9" s="12" t="s">
        <v>197</v>
      </c>
      <c r="D9" s="12" t="s">
        <v>403</v>
      </c>
      <c r="E9" s="12" t="s">
        <v>417</v>
      </c>
      <c r="F9" s="12" t="s">
        <v>418</v>
      </c>
      <c r="G9" s="12" t="s">
        <v>419</v>
      </c>
      <c r="H9" s="12" t="s">
        <v>420</v>
      </c>
      <c r="I9" s="12" t="s">
        <v>6</v>
      </c>
      <c r="J9" s="12" t="s">
        <v>176</v>
      </c>
    </row>
    <row r="10" customFormat="false" ht="15.75" hidden="false" customHeight="true" outlineLevel="0" collapsed="false">
      <c r="A10" s="19" t="n">
        <v>6</v>
      </c>
      <c r="B10" s="12" t="s">
        <v>416</v>
      </c>
      <c r="C10" s="12" t="s">
        <v>197</v>
      </c>
      <c r="D10" s="12" t="s">
        <v>403</v>
      </c>
      <c r="E10" s="12" t="s">
        <v>421</v>
      </c>
      <c r="F10" s="12" t="s">
        <v>422</v>
      </c>
      <c r="G10" s="12" t="s">
        <v>423</v>
      </c>
      <c r="H10" s="12" t="s">
        <v>424</v>
      </c>
      <c r="I10" s="12" t="s">
        <v>6</v>
      </c>
      <c r="J10" s="12" t="s">
        <v>176</v>
      </c>
    </row>
    <row r="11" customFormat="false" ht="15.75" hidden="false" customHeight="true" outlineLevel="0" collapsed="false">
      <c r="A11" s="19" t="n">
        <v>7</v>
      </c>
      <c r="B11" s="12" t="s">
        <v>425</v>
      </c>
      <c r="C11" s="12" t="s">
        <v>197</v>
      </c>
      <c r="D11" s="12" t="s">
        <v>403</v>
      </c>
      <c r="E11" s="12" t="s">
        <v>426</v>
      </c>
      <c r="F11" s="12" t="s">
        <v>427</v>
      </c>
      <c r="G11" s="12" t="s">
        <v>428</v>
      </c>
      <c r="H11" s="12" t="s">
        <v>429</v>
      </c>
      <c r="I11" s="12" t="s">
        <v>6</v>
      </c>
      <c r="J11" s="12" t="s">
        <v>176</v>
      </c>
    </row>
    <row r="12" customFormat="false" ht="15.75" hidden="false" customHeight="true" outlineLevel="0" collapsed="false">
      <c r="A12" s="19" t="n">
        <v>8</v>
      </c>
      <c r="B12" s="12" t="s">
        <v>430</v>
      </c>
      <c r="C12" s="12" t="s">
        <v>197</v>
      </c>
      <c r="D12" s="12" t="s">
        <v>403</v>
      </c>
      <c r="E12" s="12" t="s">
        <v>431</v>
      </c>
      <c r="F12" s="12" t="s">
        <v>4</v>
      </c>
      <c r="G12" s="12" t="s">
        <v>428</v>
      </c>
      <c r="H12" s="12" t="s">
        <v>432</v>
      </c>
      <c r="I12" s="12" t="s">
        <v>6</v>
      </c>
      <c r="J12" s="12" t="s">
        <v>176</v>
      </c>
    </row>
    <row r="13" customFormat="false" ht="15.75" hidden="false" customHeight="true" outlineLevel="0" collapsed="false">
      <c r="A13" s="19" t="n">
        <v>9</v>
      </c>
      <c r="B13" s="12" t="s">
        <v>433</v>
      </c>
      <c r="C13" s="12" t="s">
        <v>197</v>
      </c>
      <c r="D13" s="12" t="s">
        <v>403</v>
      </c>
      <c r="E13" s="12" t="s">
        <v>434</v>
      </c>
      <c r="F13" s="12" t="s">
        <v>403</v>
      </c>
      <c r="G13" s="12" t="s">
        <v>68</v>
      </c>
      <c r="H13" s="12" t="s">
        <v>435</v>
      </c>
      <c r="I13" s="12" t="s">
        <v>6</v>
      </c>
      <c r="J13" s="12" t="s">
        <v>176</v>
      </c>
    </row>
    <row r="14" customFormat="false" ht="15.75" hidden="false" customHeight="true" outlineLevel="0" collapsed="false">
      <c r="A14" s="19" t="n">
        <v>10</v>
      </c>
      <c r="B14" s="12" t="s">
        <v>436</v>
      </c>
      <c r="C14" s="12" t="s">
        <v>197</v>
      </c>
      <c r="D14" s="12" t="s">
        <v>403</v>
      </c>
      <c r="E14" s="12" t="s">
        <v>437</v>
      </c>
      <c r="F14" s="12" t="s">
        <v>104</v>
      </c>
      <c r="G14" s="12" t="s">
        <v>438</v>
      </c>
      <c r="H14" s="12" t="s">
        <v>439</v>
      </c>
      <c r="I14" s="12" t="s">
        <v>440</v>
      </c>
      <c r="J14" s="12" t="s">
        <v>176</v>
      </c>
    </row>
    <row r="15" customFormat="false" ht="15.75" hidden="false" customHeight="true" outlineLevel="0" collapsed="false">
      <c r="A15" s="19" t="n">
        <v>11</v>
      </c>
      <c r="B15" s="12" t="s">
        <v>441</v>
      </c>
      <c r="C15" s="12" t="s">
        <v>197</v>
      </c>
      <c r="D15" s="12" t="s">
        <v>403</v>
      </c>
      <c r="E15" s="12" t="s">
        <v>442</v>
      </c>
      <c r="F15" s="12" t="s">
        <v>443</v>
      </c>
      <c r="G15" s="12" t="s">
        <v>444</v>
      </c>
      <c r="H15" s="12" t="s">
        <v>445</v>
      </c>
      <c r="I15" s="12" t="s">
        <v>440</v>
      </c>
      <c r="J15" s="12" t="s">
        <v>176</v>
      </c>
    </row>
    <row r="16" customFormat="false" ht="15.75" hidden="false" customHeight="true" outlineLevel="0" collapsed="false">
      <c r="A16" s="19" t="n">
        <v>12</v>
      </c>
      <c r="B16" s="12" t="s">
        <v>446</v>
      </c>
      <c r="C16" s="12" t="s">
        <v>197</v>
      </c>
      <c r="D16" s="12" t="s">
        <v>403</v>
      </c>
      <c r="E16" s="12" t="s">
        <v>447</v>
      </c>
      <c r="F16" s="12" t="s">
        <v>448</v>
      </c>
      <c r="G16" s="12" t="s">
        <v>449</v>
      </c>
      <c r="H16" s="12" t="s">
        <v>450</v>
      </c>
      <c r="I16" s="12" t="s">
        <v>440</v>
      </c>
      <c r="J16" s="12" t="s">
        <v>176</v>
      </c>
    </row>
    <row r="17" customFormat="false" ht="15.75" hidden="false" customHeight="true" outlineLevel="0" collapsed="false">
      <c r="A17" s="19" t="n">
        <v>13</v>
      </c>
      <c r="B17" s="12" t="s">
        <v>413</v>
      </c>
      <c r="C17" s="12" t="s">
        <v>197</v>
      </c>
      <c r="D17" s="12" t="s">
        <v>403</v>
      </c>
      <c r="E17" s="12" t="s">
        <v>451</v>
      </c>
      <c r="F17" s="12" t="s">
        <v>452</v>
      </c>
      <c r="G17" s="12" t="s">
        <v>453</v>
      </c>
      <c r="H17" s="12" t="s">
        <v>454</v>
      </c>
      <c r="I17" s="12" t="s">
        <v>6</v>
      </c>
      <c r="J17" s="12" t="s">
        <v>176</v>
      </c>
    </row>
    <row r="18" customFormat="false" ht="15.75" hidden="false" customHeight="true" outlineLevel="0" collapsed="false">
      <c r="A18" s="19" t="n">
        <v>14</v>
      </c>
      <c r="B18" s="12" t="s">
        <v>455</v>
      </c>
      <c r="C18" s="12" t="s">
        <v>197</v>
      </c>
      <c r="D18" s="12" t="s">
        <v>403</v>
      </c>
      <c r="E18" s="12" t="s">
        <v>456</v>
      </c>
      <c r="F18" s="12" t="s">
        <v>457</v>
      </c>
      <c r="G18" s="12" t="s">
        <v>68</v>
      </c>
      <c r="H18" s="12" t="s">
        <v>458</v>
      </c>
      <c r="I18" s="12" t="s">
        <v>6</v>
      </c>
      <c r="J18" s="12" t="s">
        <v>176</v>
      </c>
    </row>
    <row r="19" customFormat="false" ht="15.75" hidden="false" customHeight="true" outlineLevel="0" collapsed="false">
      <c r="A19" s="19" t="n">
        <v>15</v>
      </c>
      <c r="B19" s="12" t="s">
        <v>459</v>
      </c>
      <c r="C19" s="12" t="s">
        <v>197</v>
      </c>
      <c r="D19" s="12" t="s">
        <v>403</v>
      </c>
      <c r="E19" s="12" t="s">
        <v>460</v>
      </c>
      <c r="F19" s="12" t="s">
        <v>461</v>
      </c>
      <c r="G19" s="12" t="s">
        <v>462</v>
      </c>
      <c r="H19" s="12" t="s">
        <v>463</v>
      </c>
      <c r="I19" s="12" t="s">
        <v>440</v>
      </c>
      <c r="J19" s="12" t="s">
        <v>176</v>
      </c>
    </row>
    <row r="20" customFormat="false" ht="15.75" hidden="false" customHeight="true" outlineLevel="0" collapsed="false">
      <c r="A20" s="19" t="n">
        <v>16</v>
      </c>
      <c r="B20" s="12" t="s">
        <v>464</v>
      </c>
      <c r="C20" s="12" t="s">
        <v>197</v>
      </c>
      <c r="D20" s="12" t="s">
        <v>403</v>
      </c>
      <c r="E20" s="12" t="s">
        <v>465</v>
      </c>
      <c r="F20" s="12" t="s">
        <v>466</v>
      </c>
      <c r="G20" s="12" t="s">
        <v>68</v>
      </c>
      <c r="H20" s="12" t="s">
        <v>467</v>
      </c>
      <c r="I20" s="12" t="s">
        <v>6</v>
      </c>
      <c r="J20" s="12" t="s">
        <v>176</v>
      </c>
    </row>
    <row r="21" customFormat="false" ht="15.75" hidden="false" customHeight="true" outlineLevel="0" collapsed="false">
      <c r="A21" s="19"/>
      <c r="B21" s="12"/>
      <c r="C21" s="12"/>
      <c r="D21" s="12"/>
      <c r="E21" s="12"/>
      <c r="F21" s="12"/>
      <c r="G21" s="12"/>
      <c r="H21" s="12"/>
      <c r="I21" s="12"/>
      <c r="J21" s="12"/>
    </row>
    <row r="22" customFormat="false" ht="15.75" hidden="false" customHeight="true" outlineLevel="0" collapsed="false">
      <c r="A22" s="19"/>
      <c r="B22" s="12"/>
      <c r="C22" s="12"/>
      <c r="D22" s="12"/>
      <c r="E22" s="12"/>
      <c r="F22" s="12"/>
      <c r="G22" s="12"/>
      <c r="H22" s="12"/>
      <c r="I22" s="12"/>
      <c r="J22" s="12"/>
    </row>
    <row r="23" customFormat="false" ht="15.75" hidden="false" customHeight="true" outlineLevel="0" collapsed="false">
      <c r="A23" s="19"/>
      <c r="B23" s="12"/>
      <c r="C23" s="12"/>
      <c r="D23" s="12"/>
      <c r="E23" s="12"/>
      <c r="F23" s="12"/>
      <c r="G23" s="12"/>
      <c r="H23" s="12"/>
      <c r="I23" s="12"/>
      <c r="J23" s="12"/>
    </row>
    <row r="24" customFormat="false" ht="15.75" hidden="false" customHeight="true" outlineLevel="0" collapsed="false">
      <c r="A24" s="19"/>
      <c r="B24" s="12"/>
      <c r="C24" s="12"/>
      <c r="D24" s="12"/>
      <c r="E24" s="12"/>
      <c r="F24" s="12"/>
      <c r="G24" s="12"/>
      <c r="H24" s="12"/>
      <c r="I24" s="12"/>
      <c r="J24" s="12"/>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1" activeCellId="0" sqref="H11"/>
    </sheetView>
  </sheetViews>
  <sheetFormatPr defaultColWidth="8.5703125" defaultRowHeight="15" zeroHeight="false" outlineLevelRow="0" outlineLevelCol="0"/>
  <cols>
    <col collapsed="false" customWidth="true" hidden="false" outlineLevel="0" max="1" min="1" style="1" width="12"/>
    <col collapsed="false" customWidth="true" hidden="false" outlineLevel="0" max="4" min="2" style="1" width="9"/>
    <col collapsed="false" customWidth="true" hidden="false" outlineLevel="0" max="5" min="5" style="1" width="12"/>
    <col collapsed="false" customWidth="true" hidden="false" outlineLevel="0" max="6" min="6" style="1" width="15"/>
    <col collapsed="false" customWidth="true" hidden="false" outlineLevel="0" max="7" min="7" style="1" width="12"/>
    <col collapsed="false" customWidth="true" hidden="false" outlineLevel="0" max="8" min="8" style="1" width="15"/>
    <col collapsed="false" customWidth="true" hidden="false" outlineLevel="0" max="9" min="9" style="1" width="13"/>
    <col collapsed="false" customWidth="true" hidden="false" outlineLevel="0" max="12" min="10" style="1" width="11"/>
    <col collapsed="false" customWidth="true" hidden="false" outlineLevel="0" max="14" min="13" style="1" width="14"/>
  </cols>
  <sheetData>
    <row r="1" customFormat="false" ht="19.5" hidden="false" customHeight="true" outlineLevel="0" collapsed="false">
      <c r="A1" s="2" t="s">
        <v>468</v>
      </c>
    </row>
    <row r="2" customFormat="false" ht="13.5" hidden="false" customHeight="true" outlineLevel="0" collapsed="false">
      <c r="A2" s="3"/>
    </row>
    <row r="4" customFormat="false" ht="30" hidden="false" customHeight="true" outlineLevel="0" collapsed="false">
      <c r="A4" s="18" t="s">
        <v>56</v>
      </c>
      <c r="B4" s="18" t="s">
        <v>187</v>
      </c>
      <c r="C4" s="18" t="s">
        <v>151</v>
      </c>
      <c r="D4" s="18" t="s">
        <v>152</v>
      </c>
      <c r="E4" s="18" t="s">
        <v>221</v>
      </c>
      <c r="F4" s="18" t="s">
        <v>469</v>
      </c>
      <c r="G4" s="18" t="s">
        <v>223</v>
      </c>
      <c r="H4" s="18" t="s">
        <v>470</v>
      </c>
      <c r="I4" s="18" t="s">
        <v>471</v>
      </c>
      <c r="J4" s="18" t="s">
        <v>472</v>
      </c>
      <c r="K4" s="18" t="s">
        <v>473</v>
      </c>
      <c r="L4" s="18" t="s">
        <v>474</v>
      </c>
      <c r="M4" s="18" t="s">
        <v>475</v>
      </c>
      <c r="N4" s="18" t="s">
        <v>476</v>
      </c>
    </row>
    <row r="5" customFormat="false" ht="15.75" hidden="false" customHeight="true" outlineLevel="0" collapsed="false">
      <c r="A5" s="32" t="str">
        <f aca="false">IF('09_BATCH GROWTH LOG'!B5="","",'09_BATCH GROWTH LOG'!B5)</f>
        <v>F1</v>
      </c>
      <c r="B5" s="32" t="n">
        <f aca="false">IF('09_BATCH GROWTH LOG'!C5="","",'09_BATCH GROWTH LOG'!C5)</f>
        <v>0</v>
      </c>
      <c r="C5" s="32" t="n">
        <f aca="false">IF('09_BATCH GROWTH LOG'!F5="","",'09_BATCH GROWTH LOG'!F5)</f>
        <v>5.83</v>
      </c>
      <c r="D5" s="32" t="str">
        <f aca="false">IF('09_BATCH GROWTH LOG'!G5="","",'09_BATCH GROWTH LOG'!G5)</f>
        <v>NA</v>
      </c>
      <c r="E5" s="32" t="str">
        <f aca="false">IFERROR(IF($A5="","",INDEX('11_ASSAY RESULTS'!$E$5:$E$44,MATCH($A5&amp;"|"&amp;$B5,'11_ASSAY RESULTS'!$P$5:$P$44,0))),"")</f>
        <v/>
      </c>
      <c r="F5" s="21" t="str">
        <f aca="false">IFERROR(IF(OR(E5="",'10_STANDARD CURVES'!$B$15=""),"",(E5-'10_STANDARD CURVES'!$B$16)/'10_STANDARD CURVES'!$B$15*IF(IFERROR(INDEX('11_ASSAY RESULTS'!$F$5:$F$44,MATCH($A5&amp;"|"&amp;$B5,'11_ASSAY RESULTS'!$P$5:$P$44,0)),"")="",1,IFERROR(INDEX('11_ASSAY RESULTS'!$F$5:$F$44,MATCH($A5&amp;"|"&amp;$B5,'11_ASSAY RESULTS'!$P$5:$P$44,0)),""))),"")</f>
        <v/>
      </c>
      <c r="G5" s="32" t="str">
        <f aca="false">IFERROR(IF($A5="","",INDEX('11_ASSAY RESULTS'!$G$5:$G$44,MATCH($A5&amp;"|"&amp;$B5,'11_ASSAY RESULTS'!$P$5:$P$44,0))),"")</f>
        <v/>
      </c>
      <c r="H5" s="21" t="str">
        <f aca="false">IFERROR(IF(OR(G5="",'10_STANDARD CURVES'!$F$15=""),"",(G5-'10_STANDARD CURVES'!$F$16)/'10_STANDARD CURVES'!$F$15*IF(IFERROR(INDEX('11_ASSAY RESULTS'!$H$5:$H$44,MATCH($A5&amp;"|"&amp;$B5,'11_ASSAY RESULTS'!$P$5:$P$44,0)),"")="",1,IFERROR(INDEX('11_ASSAY RESULTS'!$H$5:$H$44,MATCH($A5&amp;"|"&amp;$B5,'11_ASSAY RESULTS'!$P$5:$P$44,0)),""))),"")</f>
        <v/>
      </c>
      <c r="I5" s="32" t="str">
        <f aca="false">IFERROR(IF($A5="","",INDEX('11_ASSAY RESULTS'!$I$5:$I$44,MATCH($A5&amp;"|"&amp;$B5,'11_ASSAY RESULTS'!$P$5:$P$44,0))),"")</f>
        <v/>
      </c>
      <c r="J5" s="32" t="str">
        <f aca="false">IFERROR(IF($A5="","",INDEX('11_ASSAY RESULTS'!$J$5:$J$44,MATCH($A5&amp;"|"&amp;$B5,'11_ASSAY RESULTS'!$P$5:$P$44,0))),"")</f>
        <v/>
      </c>
      <c r="K5" s="32" t="str">
        <f aca="false">IFERROR(IF($A5="","",INDEX('11_ASSAY RESULTS'!$L$5:$L$44,MATCH($A5&amp;"|"&amp;$B5,'11_ASSAY RESULTS'!$P$5:$P$44,0))),"")</f>
        <v/>
      </c>
      <c r="L5" s="32" t="str">
        <f aca="false">IFERROR(IF($A5="","",INDEX('11_ASSAY RESULTS'!$M$5:$M$44,MATCH($A5&amp;"|"&amp;$B5,'11_ASSAY RESULTS'!$P$5:$P$44,0))),"")</f>
        <v/>
      </c>
      <c r="M5" s="21" t="str">
        <f aca="false">IFERROR(IF(AND(K5="",L5=""),"",AVERAGE(K5:L5)),"")</f>
        <v/>
      </c>
      <c r="N5" s="41" t="str">
        <f aca="false">IFERROR(IF(OR(M5="",I5="",J5=""),"",M5*J5*0.09008/I5*100),"")</f>
        <v/>
      </c>
    </row>
    <row r="6" customFormat="false" ht="15.75" hidden="false" customHeight="true" outlineLevel="0" collapsed="false">
      <c r="A6" s="32" t="str">
        <f aca="false">IF('09_BATCH GROWTH LOG'!B6="","",'09_BATCH GROWTH LOG'!B6)</f>
        <v>F1</v>
      </c>
      <c r="B6" s="32" t="n">
        <f aca="false">IF('09_BATCH GROWTH LOG'!C6="","",'09_BATCH GROWTH LOG'!C6)</f>
        <v>6</v>
      </c>
      <c r="C6" s="32" t="n">
        <f aca="false">IF('09_BATCH GROWTH LOG'!F6="","",'09_BATCH GROWTH LOG'!F6)</f>
        <v>5.55</v>
      </c>
      <c r="D6" s="32" t="str">
        <f aca="false">IF('09_BATCH GROWTH LOG'!G6="","",'09_BATCH GROWTH LOG'!G6)</f>
        <v>NA</v>
      </c>
      <c r="E6" s="32" t="str">
        <f aca="false">IFERROR(IF($A6="","",INDEX('11_ASSAY RESULTS'!$E$5:$E$44,MATCH($A6&amp;"|"&amp;$B6,'11_ASSAY RESULTS'!$P$5:$P$44,0))),"")</f>
        <v/>
      </c>
      <c r="F6" s="21" t="str">
        <f aca="false">IFERROR(IF(OR(E6="",'10_STANDARD CURVES'!$B$15=""),"",(E6-'10_STANDARD CURVES'!$B$16)/'10_STANDARD CURVES'!$B$15*IF(IFERROR(INDEX('11_ASSAY RESULTS'!$F$5:$F$44,MATCH($A6&amp;"|"&amp;$B6,'11_ASSAY RESULTS'!$P$5:$P$44,0)),"")="",1,IFERROR(INDEX('11_ASSAY RESULTS'!$F$5:$F$44,MATCH($A6&amp;"|"&amp;$B6,'11_ASSAY RESULTS'!$P$5:$P$44,0)),""))),"")</f>
        <v/>
      </c>
      <c r="G6" s="32" t="str">
        <f aca="false">IFERROR(IF($A6="","",INDEX('11_ASSAY RESULTS'!$G$5:$G$44,MATCH($A6&amp;"|"&amp;$B6,'11_ASSAY RESULTS'!$P$5:$P$44,0))),"")</f>
        <v/>
      </c>
      <c r="H6" s="21" t="str">
        <f aca="false">IFERROR(IF(OR(G6="",'10_STANDARD CURVES'!$F$15=""),"",(G6-'10_STANDARD CURVES'!$F$16)/'10_STANDARD CURVES'!$F$15*IF(IFERROR(INDEX('11_ASSAY RESULTS'!$H$5:$H$44,MATCH($A6&amp;"|"&amp;$B6,'11_ASSAY RESULTS'!$P$5:$P$44,0)),"")="",1,IFERROR(INDEX('11_ASSAY RESULTS'!$H$5:$H$44,MATCH($A6&amp;"|"&amp;$B6,'11_ASSAY RESULTS'!$P$5:$P$44,0)),""))),"")</f>
        <v/>
      </c>
      <c r="I6" s="32" t="str">
        <f aca="false">IFERROR(IF($A6="","",INDEX('11_ASSAY RESULTS'!$I$5:$I$44,MATCH($A6&amp;"|"&amp;$B6,'11_ASSAY RESULTS'!$P$5:$P$44,0))),"")</f>
        <v/>
      </c>
      <c r="J6" s="32" t="str">
        <f aca="false">IFERROR(IF($A6="","",INDEX('11_ASSAY RESULTS'!$J$5:$J$44,MATCH($A6&amp;"|"&amp;$B6,'11_ASSAY RESULTS'!$P$5:$P$44,0))),"")</f>
        <v/>
      </c>
      <c r="K6" s="32" t="str">
        <f aca="false">IFERROR(IF($A6="","",INDEX('11_ASSAY RESULTS'!$L$5:$L$44,MATCH($A6&amp;"|"&amp;$B6,'11_ASSAY RESULTS'!$P$5:$P$44,0))),"")</f>
        <v/>
      </c>
      <c r="L6" s="32" t="str">
        <f aca="false">IFERROR(IF($A6="","",INDEX('11_ASSAY RESULTS'!$M$5:$M$44,MATCH($A6&amp;"|"&amp;$B6,'11_ASSAY RESULTS'!$P$5:$P$44,0))),"")</f>
        <v/>
      </c>
      <c r="M6" s="21" t="str">
        <f aca="false">IFERROR(IF(AND(K6="",L6=""),"",AVERAGE(K6:L6)),"")</f>
        <v/>
      </c>
      <c r="N6" s="41" t="str">
        <f aca="false">IFERROR(IF(OR(M6="",I6="",J6=""),"",M6*J6*0.09008/I6*100),"")</f>
        <v/>
      </c>
    </row>
    <row r="7" customFormat="false" ht="15.75" hidden="false" customHeight="true" outlineLevel="0" collapsed="false">
      <c r="A7" s="32" t="str">
        <f aca="false">IF('09_BATCH GROWTH LOG'!B7="","",'09_BATCH GROWTH LOG'!B7)</f>
        <v>F1</v>
      </c>
      <c r="B7" s="32" t="n">
        <f aca="false">IF('09_BATCH GROWTH LOG'!C7="","",'09_BATCH GROWTH LOG'!C7)</f>
        <v>12</v>
      </c>
      <c r="C7" s="32" t="n">
        <f aca="false">IF('09_BATCH GROWTH LOG'!F7="","",'09_BATCH GROWTH LOG'!F7)</f>
        <v>5.35</v>
      </c>
      <c r="D7" s="32" t="str">
        <f aca="false">IF('09_BATCH GROWTH LOG'!G7="","",'09_BATCH GROWTH LOG'!G7)</f>
        <v>NA</v>
      </c>
      <c r="E7" s="32" t="str">
        <f aca="false">IFERROR(IF($A7="","",INDEX('11_ASSAY RESULTS'!$E$5:$E$44,MATCH($A7&amp;"|"&amp;$B7,'11_ASSAY RESULTS'!$P$5:$P$44,0))),"")</f>
        <v/>
      </c>
      <c r="F7" s="21" t="str">
        <f aca="false">IFERROR(IF(OR(E7="",'10_STANDARD CURVES'!$B$15=""),"",(E7-'10_STANDARD CURVES'!$B$16)/'10_STANDARD CURVES'!$B$15*IF(IFERROR(INDEX('11_ASSAY RESULTS'!$F$5:$F$44,MATCH($A7&amp;"|"&amp;$B7,'11_ASSAY RESULTS'!$P$5:$P$44,0)),"")="",1,IFERROR(INDEX('11_ASSAY RESULTS'!$F$5:$F$44,MATCH($A7&amp;"|"&amp;$B7,'11_ASSAY RESULTS'!$P$5:$P$44,0)),""))),"")</f>
        <v/>
      </c>
      <c r="G7" s="32" t="str">
        <f aca="false">IFERROR(IF($A7="","",INDEX('11_ASSAY RESULTS'!$G$5:$G$44,MATCH($A7&amp;"|"&amp;$B7,'11_ASSAY RESULTS'!$P$5:$P$44,0))),"")</f>
        <v/>
      </c>
      <c r="H7" s="21" t="str">
        <f aca="false">IFERROR(IF(OR(G7="",'10_STANDARD CURVES'!$F$15=""),"",(G7-'10_STANDARD CURVES'!$F$16)/'10_STANDARD CURVES'!$F$15*IF(IFERROR(INDEX('11_ASSAY RESULTS'!$H$5:$H$44,MATCH($A7&amp;"|"&amp;$B7,'11_ASSAY RESULTS'!$P$5:$P$44,0)),"")="",1,IFERROR(INDEX('11_ASSAY RESULTS'!$H$5:$H$44,MATCH($A7&amp;"|"&amp;$B7,'11_ASSAY RESULTS'!$P$5:$P$44,0)),""))),"")</f>
        <v/>
      </c>
      <c r="I7" s="32" t="str">
        <f aca="false">IFERROR(IF($A7="","",INDEX('11_ASSAY RESULTS'!$I$5:$I$44,MATCH($A7&amp;"|"&amp;$B7,'11_ASSAY RESULTS'!$P$5:$P$44,0))),"")</f>
        <v/>
      </c>
      <c r="J7" s="32" t="str">
        <f aca="false">IFERROR(IF($A7="","",INDEX('11_ASSAY RESULTS'!$J$5:$J$44,MATCH($A7&amp;"|"&amp;$B7,'11_ASSAY RESULTS'!$P$5:$P$44,0))),"")</f>
        <v/>
      </c>
      <c r="K7" s="32" t="str">
        <f aca="false">IFERROR(IF($A7="","",INDEX('11_ASSAY RESULTS'!$L$5:$L$44,MATCH($A7&amp;"|"&amp;$B7,'11_ASSAY RESULTS'!$P$5:$P$44,0))),"")</f>
        <v/>
      </c>
      <c r="L7" s="32" t="str">
        <f aca="false">IFERROR(IF($A7="","",INDEX('11_ASSAY RESULTS'!$M$5:$M$44,MATCH($A7&amp;"|"&amp;$B7,'11_ASSAY RESULTS'!$P$5:$P$44,0))),"")</f>
        <v/>
      </c>
      <c r="M7" s="21" t="str">
        <f aca="false">IFERROR(IF(AND(K7="",L7=""),"",AVERAGE(K7:L7)),"")</f>
        <v/>
      </c>
      <c r="N7" s="41" t="str">
        <f aca="false">IFERROR(IF(OR(M7="",I7="",J7=""),"",M7*J7*0.09008/I7*100),"")</f>
        <v/>
      </c>
    </row>
    <row r="8" customFormat="false" ht="15.75" hidden="false" customHeight="true" outlineLevel="0" collapsed="false">
      <c r="A8" s="32" t="str">
        <f aca="false">IF('09_BATCH GROWTH LOG'!B8="","",'09_BATCH GROWTH LOG'!B8)</f>
        <v>F1</v>
      </c>
      <c r="B8" s="32" t="n">
        <f aca="false">IF('09_BATCH GROWTH LOG'!C8="","",'09_BATCH GROWTH LOG'!C8)</f>
        <v>24</v>
      </c>
      <c r="C8" s="32" t="n">
        <f aca="false">IF('09_BATCH GROWTH LOG'!F8="","",'09_BATCH GROWTH LOG'!F8)</f>
        <v>5.17</v>
      </c>
      <c r="D8" s="32" t="str">
        <f aca="false">IF('09_BATCH GROWTH LOG'!G8="","",'09_BATCH GROWTH LOG'!G8)</f>
        <v>NA</v>
      </c>
      <c r="E8" s="32" t="str">
        <f aca="false">IFERROR(IF($A8="","",INDEX('11_ASSAY RESULTS'!$E$5:$E$44,MATCH($A8&amp;"|"&amp;$B8,'11_ASSAY RESULTS'!$P$5:$P$44,0))),"")</f>
        <v/>
      </c>
      <c r="F8" s="21" t="str">
        <f aca="false">IFERROR(IF(OR(E8="",'10_STANDARD CURVES'!$B$15=""),"",(E8-'10_STANDARD CURVES'!$B$16)/'10_STANDARD CURVES'!$B$15*IF(IFERROR(INDEX('11_ASSAY RESULTS'!$F$5:$F$44,MATCH($A8&amp;"|"&amp;$B8,'11_ASSAY RESULTS'!$P$5:$P$44,0)),"")="",1,IFERROR(INDEX('11_ASSAY RESULTS'!$F$5:$F$44,MATCH($A8&amp;"|"&amp;$B8,'11_ASSAY RESULTS'!$P$5:$P$44,0)),""))),"")</f>
        <v/>
      </c>
      <c r="G8" s="32" t="str">
        <f aca="false">IFERROR(IF($A8="","",INDEX('11_ASSAY RESULTS'!$G$5:$G$44,MATCH($A8&amp;"|"&amp;$B8,'11_ASSAY RESULTS'!$P$5:$P$44,0))),"")</f>
        <v/>
      </c>
      <c r="H8" s="21" t="str">
        <f aca="false">IFERROR(IF(OR(G8="",'10_STANDARD CURVES'!$F$15=""),"",(G8-'10_STANDARD CURVES'!$F$16)/'10_STANDARD CURVES'!$F$15*IF(IFERROR(INDEX('11_ASSAY RESULTS'!$H$5:$H$44,MATCH($A8&amp;"|"&amp;$B8,'11_ASSAY RESULTS'!$P$5:$P$44,0)),"")="",1,IFERROR(INDEX('11_ASSAY RESULTS'!$H$5:$H$44,MATCH($A8&amp;"|"&amp;$B8,'11_ASSAY RESULTS'!$P$5:$P$44,0)),""))),"")</f>
        <v/>
      </c>
      <c r="I8" s="32" t="str">
        <f aca="false">IFERROR(IF($A8="","",INDEX('11_ASSAY RESULTS'!$I$5:$I$44,MATCH($A8&amp;"|"&amp;$B8,'11_ASSAY RESULTS'!$P$5:$P$44,0))),"")</f>
        <v/>
      </c>
      <c r="J8" s="32" t="str">
        <f aca="false">IFERROR(IF($A8="","",INDEX('11_ASSAY RESULTS'!$J$5:$J$44,MATCH($A8&amp;"|"&amp;$B8,'11_ASSAY RESULTS'!$P$5:$P$44,0))),"")</f>
        <v/>
      </c>
      <c r="K8" s="32" t="str">
        <f aca="false">IFERROR(IF($A8="","",INDEX('11_ASSAY RESULTS'!$L$5:$L$44,MATCH($A8&amp;"|"&amp;$B8,'11_ASSAY RESULTS'!$P$5:$P$44,0))),"")</f>
        <v/>
      </c>
      <c r="L8" s="32" t="str">
        <f aca="false">IFERROR(IF($A8="","",INDEX('11_ASSAY RESULTS'!$M$5:$M$44,MATCH($A8&amp;"|"&amp;$B8,'11_ASSAY RESULTS'!$P$5:$P$44,0))),"")</f>
        <v/>
      </c>
      <c r="M8" s="21" t="str">
        <f aca="false">IFERROR(IF(AND(K8="",L8=""),"",AVERAGE(K8:L8)),"")</f>
        <v/>
      </c>
      <c r="N8" s="41" t="str">
        <f aca="false">IFERROR(IF(OR(M8="",I8="",J8=""),"",M8*J8*0.09008/I8*100),"")</f>
        <v/>
      </c>
    </row>
    <row r="9" customFormat="false" ht="15.75" hidden="false" customHeight="true" outlineLevel="0" collapsed="false">
      <c r="A9" s="32" t="str">
        <f aca="false">IF('09_BATCH GROWTH LOG'!B9="","",'09_BATCH GROWTH LOG'!B9)</f>
        <v>F1</v>
      </c>
      <c r="B9" s="32" t="n">
        <f aca="false">IF('09_BATCH GROWTH LOG'!C9="","",'09_BATCH GROWTH LOG'!C9)</f>
        <v>30</v>
      </c>
      <c r="C9" s="32" t="n">
        <f aca="false">IF('09_BATCH GROWTH LOG'!F9="","",'09_BATCH GROWTH LOG'!F9)</f>
        <v>5.13</v>
      </c>
      <c r="D9" s="32" t="str">
        <f aca="false">IF('09_BATCH GROWTH LOG'!G9="","",'09_BATCH GROWTH LOG'!G9)</f>
        <v>NA</v>
      </c>
      <c r="E9" s="32" t="str">
        <f aca="false">IFERROR(IF($A9="","",INDEX('11_ASSAY RESULTS'!$E$5:$E$44,MATCH($A9&amp;"|"&amp;$B9,'11_ASSAY RESULTS'!$P$5:$P$44,0))),"")</f>
        <v/>
      </c>
      <c r="F9" s="21" t="str">
        <f aca="false">IFERROR(IF(OR(E9="",'10_STANDARD CURVES'!$B$15=""),"",(E9-'10_STANDARD CURVES'!$B$16)/'10_STANDARD CURVES'!$B$15*IF(IFERROR(INDEX('11_ASSAY RESULTS'!$F$5:$F$44,MATCH($A9&amp;"|"&amp;$B9,'11_ASSAY RESULTS'!$P$5:$P$44,0)),"")="",1,IFERROR(INDEX('11_ASSAY RESULTS'!$F$5:$F$44,MATCH($A9&amp;"|"&amp;$B9,'11_ASSAY RESULTS'!$P$5:$P$44,0)),""))),"")</f>
        <v/>
      </c>
      <c r="G9" s="32" t="str">
        <f aca="false">IFERROR(IF($A9="","",INDEX('11_ASSAY RESULTS'!$G$5:$G$44,MATCH($A9&amp;"|"&amp;$B9,'11_ASSAY RESULTS'!$P$5:$P$44,0))),"")</f>
        <v/>
      </c>
      <c r="H9" s="21" t="str">
        <f aca="false">IFERROR(IF(OR(G9="",'10_STANDARD CURVES'!$F$15=""),"",(G9-'10_STANDARD CURVES'!$F$16)/'10_STANDARD CURVES'!$F$15*IF(IFERROR(INDEX('11_ASSAY RESULTS'!$H$5:$H$44,MATCH($A9&amp;"|"&amp;$B9,'11_ASSAY RESULTS'!$P$5:$P$44,0)),"")="",1,IFERROR(INDEX('11_ASSAY RESULTS'!$H$5:$H$44,MATCH($A9&amp;"|"&amp;$B9,'11_ASSAY RESULTS'!$P$5:$P$44,0)),""))),"")</f>
        <v/>
      </c>
      <c r="I9" s="32" t="str">
        <f aca="false">IFERROR(IF($A9="","",INDEX('11_ASSAY RESULTS'!$I$5:$I$44,MATCH($A9&amp;"|"&amp;$B9,'11_ASSAY RESULTS'!$P$5:$P$44,0))),"")</f>
        <v/>
      </c>
      <c r="J9" s="32" t="str">
        <f aca="false">IFERROR(IF($A9="","",INDEX('11_ASSAY RESULTS'!$J$5:$J$44,MATCH($A9&amp;"|"&amp;$B9,'11_ASSAY RESULTS'!$P$5:$P$44,0))),"")</f>
        <v/>
      </c>
      <c r="K9" s="32" t="str">
        <f aca="false">IFERROR(IF($A9="","",INDEX('11_ASSAY RESULTS'!$L$5:$L$44,MATCH($A9&amp;"|"&amp;$B9,'11_ASSAY RESULTS'!$P$5:$P$44,0))),"")</f>
        <v/>
      </c>
      <c r="L9" s="32" t="str">
        <f aca="false">IFERROR(IF($A9="","",INDEX('11_ASSAY RESULTS'!$M$5:$M$44,MATCH($A9&amp;"|"&amp;$B9,'11_ASSAY RESULTS'!$P$5:$P$44,0))),"")</f>
        <v/>
      </c>
      <c r="M9" s="21" t="str">
        <f aca="false">IFERROR(IF(AND(K9="",L9=""),"",AVERAGE(K9:L9)),"")</f>
        <v/>
      </c>
      <c r="N9" s="41" t="str">
        <f aca="false">IFERROR(IF(OR(M9="",I9="",J9=""),"",M9*J9*0.09008/I9*100),"")</f>
        <v/>
      </c>
    </row>
    <row r="10" customFormat="false" ht="15.75" hidden="false" customHeight="true" outlineLevel="0" collapsed="false">
      <c r="A10" s="32" t="str">
        <f aca="false">IF('09_BATCH GROWTH LOG'!B10="","",'09_BATCH GROWTH LOG'!B10)</f>
        <v>F1</v>
      </c>
      <c r="B10" s="32" t="n">
        <f aca="false">IF('09_BATCH GROWTH LOG'!C10="","",'09_BATCH GROWTH LOG'!C10)</f>
        <v>36</v>
      </c>
      <c r="C10" s="32" t="n">
        <f aca="false">IF('09_BATCH GROWTH LOG'!F10="","",'09_BATCH GROWTH LOG'!F10)</f>
        <v>5.11</v>
      </c>
      <c r="D10" s="32" t="str">
        <f aca="false">IF('09_BATCH GROWTH LOG'!G10="","",'09_BATCH GROWTH LOG'!G10)</f>
        <v>NA</v>
      </c>
      <c r="E10" s="32" t="str">
        <f aca="false">IFERROR(IF($A10="","",INDEX('11_ASSAY RESULTS'!$E$5:$E$44,MATCH($A10&amp;"|"&amp;$B10,'11_ASSAY RESULTS'!$P$5:$P$44,0))),"")</f>
        <v/>
      </c>
      <c r="F10" s="21" t="str">
        <f aca="false">IFERROR(IF(OR(E10="",'10_STANDARD CURVES'!$B$15=""),"",(E10-'10_STANDARD CURVES'!$B$16)/'10_STANDARD CURVES'!$B$15*IF(IFERROR(INDEX('11_ASSAY RESULTS'!$F$5:$F$44,MATCH($A10&amp;"|"&amp;$B10,'11_ASSAY RESULTS'!$P$5:$P$44,0)),"")="",1,IFERROR(INDEX('11_ASSAY RESULTS'!$F$5:$F$44,MATCH($A10&amp;"|"&amp;$B10,'11_ASSAY RESULTS'!$P$5:$P$44,0)),""))),"")</f>
        <v/>
      </c>
      <c r="G10" s="32" t="str">
        <f aca="false">IFERROR(IF($A10="","",INDEX('11_ASSAY RESULTS'!$G$5:$G$44,MATCH($A10&amp;"|"&amp;$B10,'11_ASSAY RESULTS'!$P$5:$P$44,0))),"")</f>
        <v/>
      </c>
      <c r="H10" s="21"/>
      <c r="I10" s="32" t="str">
        <f aca="false">IFERROR(IF($A10="","",INDEX('11_ASSAY RESULTS'!$I$5:$I$44,MATCH($A10&amp;"|"&amp;$B10,'11_ASSAY RESULTS'!$P$5:$P$44,0))),"")</f>
        <v/>
      </c>
      <c r="J10" s="32" t="str">
        <f aca="false">IFERROR(IF($A10="","",INDEX('11_ASSAY RESULTS'!$J$5:$J$44,MATCH($A10&amp;"|"&amp;$B10,'11_ASSAY RESULTS'!$P$5:$P$44,0))),"")</f>
        <v/>
      </c>
      <c r="K10" s="32" t="str">
        <f aca="false">IFERROR(IF($A10="","",INDEX('11_ASSAY RESULTS'!$L$5:$L$44,MATCH($A10&amp;"|"&amp;$B10,'11_ASSAY RESULTS'!$P$5:$P$44,0))),"")</f>
        <v/>
      </c>
      <c r="L10" s="32" t="str">
        <f aca="false">IFERROR(IF($A10="","",INDEX('11_ASSAY RESULTS'!$M$5:$M$44,MATCH($A10&amp;"|"&amp;$B10,'11_ASSAY RESULTS'!$P$5:$P$44,0))),"")</f>
        <v/>
      </c>
      <c r="M10" s="21" t="str">
        <f aca="false">IFERROR(IF(AND(K10="",L10=""),"",AVERAGE(K10:L10)),"")</f>
        <v/>
      </c>
      <c r="N10" s="41" t="str">
        <f aca="false">IFERROR(IF(OR(M10="",I10="",J10=""),"",M10*J10*0.09008/I10*100),"")</f>
        <v/>
      </c>
    </row>
    <row r="11" customFormat="false" ht="15.75" hidden="false" customHeight="true" outlineLevel="0" collapsed="false">
      <c r="A11" s="32" t="str">
        <f aca="false">IF('09_BATCH GROWTH LOG'!B11="","",'09_BATCH GROWTH LOG'!B11)</f>
        <v>F1</v>
      </c>
      <c r="B11" s="32" t="n">
        <f aca="false">IF('09_BATCH GROWTH LOG'!C11="","",'09_BATCH GROWTH LOG'!C11)</f>
        <v>48</v>
      </c>
      <c r="C11" s="32" t="n">
        <f aca="false">IF('09_BATCH GROWTH LOG'!F11="","",'09_BATCH GROWTH LOG'!F11)</f>
        <v>5.09</v>
      </c>
      <c r="D11" s="32" t="str">
        <f aca="false">IF('09_BATCH GROWTH LOG'!G11="","",'09_BATCH GROWTH LOG'!G11)</f>
        <v>NA</v>
      </c>
      <c r="E11" s="32" t="str">
        <f aca="false">IFERROR(IF($A11="","",INDEX('11_ASSAY RESULTS'!$E$5:$E$44,MATCH($A11&amp;"|"&amp;$B11,'11_ASSAY RESULTS'!$P$5:$P$44,0))),"")</f>
        <v/>
      </c>
      <c r="F11" s="21" t="str">
        <f aca="false">IFERROR(IF(OR(E11="",'10_STANDARD CURVES'!$B$15=""),"",(E11-'10_STANDARD CURVES'!$B$16)/'10_STANDARD CURVES'!$B$15*IF(IFERROR(INDEX('11_ASSAY RESULTS'!$F$5:$F$44,MATCH($A11&amp;"|"&amp;$B11,'11_ASSAY RESULTS'!$P$5:$P$44,0)),"")="",1,IFERROR(INDEX('11_ASSAY RESULTS'!$F$5:$F$44,MATCH($A11&amp;"|"&amp;$B11,'11_ASSAY RESULTS'!$P$5:$P$44,0)),""))),"")</f>
        <v/>
      </c>
      <c r="G11" s="32" t="str">
        <f aca="false">IFERROR(IF($A11="","",INDEX('11_ASSAY RESULTS'!$G$5:$G$44,MATCH($A11&amp;"|"&amp;$B11,'11_ASSAY RESULTS'!$P$5:$P$44,0))),"")</f>
        <v/>
      </c>
      <c r="H11" s="21" t="str">
        <f aca="false">IFERROR(IF(OR(G11="",'10_STANDARD CURVES'!$F$15=""),"",(G11-'10_STANDARD CURVES'!$F$16)/'10_STANDARD CURVES'!$F$15*IF(IFERROR(INDEX('11_ASSAY RESULTS'!$H$5:$H$44,MATCH($A11&amp;"|"&amp;$B11,'11_ASSAY RESULTS'!$P$5:$P$44,0)),"")="",1,IFERROR(INDEX('11_ASSAY RESULTS'!$H$5:$H$44,MATCH($A11&amp;"|"&amp;$B11,'11_ASSAY RESULTS'!$P$5:$P$44,0)),""))),"")</f>
        <v/>
      </c>
      <c r="I11" s="32" t="str">
        <f aca="false">IFERROR(IF($A11="","",INDEX('11_ASSAY RESULTS'!$I$5:$I$44,MATCH($A11&amp;"|"&amp;$B11,'11_ASSAY RESULTS'!$P$5:$P$44,0))),"")</f>
        <v/>
      </c>
      <c r="J11" s="32" t="str">
        <f aca="false">IFERROR(IF($A11="","",INDEX('11_ASSAY RESULTS'!$J$5:$J$44,MATCH($A11&amp;"|"&amp;$B11,'11_ASSAY RESULTS'!$P$5:$P$44,0))),"")</f>
        <v/>
      </c>
      <c r="K11" s="32" t="str">
        <f aca="false">IFERROR(IF($A11="","",INDEX('11_ASSAY RESULTS'!$L$5:$L$44,MATCH($A11&amp;"|"&amp;$B11,'11_ASSAY RESULTS'!$P$5:$P$44,0))),"")</f>
        <v/>
      </c>
      <c r="L11" s="32" t="str">
        <f aca="false">IFERROR(IF($A11="","",INDEX('11_ASSAY RESULTS'!$M$5:$M$44,MATCH($A11&amp;"|"&amp;$B11,'11_ASSAY RESULTS'!$P$5:$P$44,0))),"")</f>
        <v/>
      </c>
      <c r="M11" s="21" t="str">
        <f aca="false">IFERROR(IF(AND(K11="",L11=""),"",AVERAGE(K11:L11)),"")</f>
        <v/>
      </c>
      <c r="N11" s="41" t="str">
        <f aca="false">IFERROR(IF(OR(M11="",I11="",J11=""),"",M11*J11*0.09008/I11*100),"")</f>
        <v/>
      </c>
    </row>
    <row r="12" customFormat="false" ht="15.75" hidden="false" customHeight="true" outlineLevel="0" collapsed="false">
      <c r="A12" s="32" t="str">
        <f aca="false">IF('09_BATCH GROWTH LOG'!B12="","",'09_BATCH GROWTH LOG'!B12)</f>
        <v>F2</v>
      </c>
      <c r="B12" s="32" t="n">
        <f aca="false">IF('09_BATCH GROWTH LOG'!C12="","",'09_BATCH GROWTH LOG'!C12)</f>
        <v>0</v>
      </c>
      <c r="C12" s="32" t="n">
        <f aca="false">IF('09_BATCH GROWTH LOG'!F12="","",'09_BATCH GROWTH LOG'!F12)</f>
        <v>5.7</v>
      </c>
      <c r="D12" s="32" t="str">
        <f aca="false">IF('09_BATCH GROWTH LOG'!G12="","",'09_BATCH GROWTH LOG'!G12)</f>
        <v>NA</v>
      </c>
      <c r="E12" s="32" t="str">
        <f aca="false">IFERROR(IF($A12="","",INDEX('11_ASSAY RESULTS'!$E$5:$E$44,MATCH($A12&amp;"|"&amp;$B12,'11_ASSAY RESULTS'!$P$5:$P$44,0))),"")</f>
        <v/>
      </c>
      <c r="F12" s="21" t="str">
        <f aca="false">IFERROR(IF(OR(E12="",'10_STANDARD CURVES'!$B$15=""),"",(E12-'10_STANDARD CURVES'!$B$16)/'10_STANDARD CURVES'!$B$15*IF(IFERROR(INDEX('11_ASSAY RESULTS'!$F$5:$F$44,MATCH($A12&amp;"|"&amp;$B12,'11_ASSAY RESULTS'!$P$5:$P$44,0)),"")="",1,IFERROR(INDEX('11_ASSAY RESULTS'!$F$5:$F$44,MATCH($A12&amp;"|"&amp;$B12,'11_ASSAY RESULTS'!$P$5:$P$44,0)),""))),"")</f>
        <v/>
      </c>
      <c r="G12" s="32" t="str">
        <f aca="false">IFERROR(IF($A12="","",INDEX('11_ASSAY RESULTS'!$G$5:$G$44,MATCH($A12&amp;"|"&amp;$B12,'11_ASSAY RESULTS'!$P$5:$P$44,0))),"")</f>
        <v/>
      </c>
      <c r="H12" s="21" t="str">
        <f aca="false">IFERROR(IF(OR(G12="",'10_STANDARD CURVES'!$F$15=""),"",(G12-'10_STANDARD CURVES'!$F$16)/'10_STANDARD CURVES'!$F$15*IF(IFERROR(INDEX('11_ASSAY RESULTS'!$H$5:$H$44,MATCH($A12&amp;"|"&amp;$B12,'11_ASSAY RESULTS'!$P$5:$P$44,0)),"")="",1,IFERROR(INDEX('11_ASSAY RESULTS'!$H$5:$H$44,MATCH($A12&amp;"|"&amp;$B12,'11_ASSAY RESULTS'!$P$5:$P$44,0)),""))),"")</f>
        <v/>
      </c>
      <c r="I12" s="32" t="str">
        <f aca="false">IFERROR(IF($A12="","",INDEX('11_ASSAY RESULTS'!$I$5:$I$44,MATCH($A12&amp;"|"&amp;$B12,'11_ASSAY RESULTS'!$P$5:$P$44,0))),"")</f>
        <v/>
      </c>
      <c r="J12" s="32" t="str">
        <f aca="false">IFERROR(IF($A12="","",INDEX('11_ASSAY RESULTS'!$J$5:$J$44,MATCH($A12&amp;"|"&amp;$B12,'11_ASSAY RESULTS'!$P$5:$P$44,0))),"")</f>
        <v/>
      </c>
      <c r="K12" s="32" t="str">
        <f aca="false">IFERROR(IF($A12="","",INDEX('11_ASSAY RESULTS'!$L$5:$L$44,MATCH($A12&amp;"|"&amp;$B12,'11_ASSAY RESULTS'!$P$5:$P$44,0))),"")</f>
        <v/>
      </c>
      <c r="L12" s="32" t="str">
        <f aca="false">IFERROR(IF($A12="","",INDEX('11_ASSAY RESULTS'!$M$5:$M$44,MATCH($A12&amp;"|"&amp;$B12,'11_ASSAY RESULTS'!$P$5:$P$44,0))),"")</f>
        <v/>
      </c>
      <c r="M12" s="21" t="str">
        <f aca="false">IFERROR(IF(AND(K12="",L12=""),"",AVERAGE(K12:L12)),"")</f>
        <v/>
      </c>
      <c r="N12" s="41" t="str">
        <f aca="false">IFERROR(IF(OR(M12="",I12="",J12=""),"",M12*J12*0.09008/I12*100),"")</f>
        <v/>
      </c>
    </row>
    <row r="13" customFormat="false" ht="15.75" hidden="false" customHeight="true" outlineLevel="0" collapsed="false">
      <c r="A13" s="32" t="str">
        <f aca="false">IF('09_BATCH GROWTH LOG'!B13="","",'09_BATCH GROWTH LOG'!B13)</f>
        <v>F2</v>
      </c>
      <c r="B13" s="32" t="n">
        <f aca="false">IF('09_BATCH GROWTH LOG'!C13="","",'09_BATCH GROWTH LOG'!C13)</f>
        <v>6</v>
      </c>
      <c r="C13" s="32" t="n">
        <f aca="false">IF('09_BATCH GROWTH LOG'!F13="","",'09_BATCH GROWTH LOG'!F13)</f>
        <v>5.58</v>
      </c>
      <c r="D13" s="32" t="str">
        <f aca="false">IF('09_BATCH GROWTH LOG'!G13="","",'09_BATCH GROWTH LOG'!G13)</f>
        <v>NA</v>
      </c>
      <c r="E13" s="32" t="str">
        <f aca="false">IFERROR(IF($A13="","",INDEX('11_ASSAY RESULTS'!$E$5:$E$44,MATCH($A13&amp;"|"&amp;$B13,'11_ASSAY RESULTS'!$P$5:$P$44,0))),"")</f>
        <v/>
      </c>
      <c r="F13" s="21" t="str">
        <f aca="false">IFERROR(IF(OR(E13="",'10_STANDARD CURVES'!$B$15=""),"",(E13-'10_STANDARD CURVES'!$B$16)/'10_STANDARD CURVES'!$B$15*IF(IFERROR(INDEX('11_ASSAY RESULTS'!$F$5:$F$44,MATCH($A13&amp;"|"&amp;$B13,'11_ASSAY RESULTS'!$P$5:$P$44,0)),"")="",1,IFERROR(INDEX('11_ASSAY RESULTS'!$F$5:$F$44,MATCH($A13&amp;"|"&amp;$B13,'11_ASSAY RESULTS'!$P$5:$P$44,0)),""))),"")</f>
        <v/>
      </c>
      <c r="G13" s="32" t="str">
        <f aca="false">IFERROR(IF($A13="","",INDEX('11_ASSAY RESULTS'!$G$5:$G$44,MATCH($A13&amp;"|"&amp;$B13,'11_ASSAY RESULTS'!$P$5:$P$44,0))),"")</f>
        <v/>
      </c>
      <c r="H13" s="21" t="str">
        <f aca="false">IFERROR(IF(OR(G13="",'10_STANDARD CURVES'!$F$15=""),"",(G13-'10_STANDARD CURVES'!$F$16)/'10_STANDARD CURVES'!$F$15*IF(IFERROR(INDEX('11_ASSAY RESULTS'!$H$5:$H$44,MATCH($A13&amp;"|"&amp;$B13,'11_ASSAY RESULTS'!$P$5:$P$44,0)),"")="",1,IFERROR(INDEX('11_ASSAY RESULTS'!$H$5:$H$44,MATCH($A13&amp;"|"&amp;$B13,'11_ASSAY RESULTS'!$P$5:$P$44,0)),""))),"")</f>
        <v/>
      </c>
      <c r="I13" s="32" t="str">
        <f aca="false">IFERROR(IF($A13="","",INDEX('11_ASSAY RESULTS'!$I$5:$I$44,MATCH($A13&amp;"|"&amp;$B13,'11_ASSAY RESULTS'!$P$5:$P$44,0))),"")</f>
        <v/>
      </c>
      <c r="J13" s="32" t="str">
        <f aca="false">IFERROR(IF($A13="","",INDEX('11_ASSAY RESULTS'!$J$5:$J$44,MATCH($A13&amp;"|"&amp;$B13,'11_ASSAY RESULTS'!$P$5:$P$44,0))),"")</f>
        <v/>
      </c>
      <c r="K13" s="32" t="str">
        <f aca="false">IFERROR(IF($A13="","",INDEX('11_ASSAY RESULTS'!$L$5:$L$44,MATCH($A13&amp;"|"&amp;$B13,'11_ASSAY RESULTS'!$P$5:$P$44,0))),"")</f>
        <v/>
      </c>
      <c r="L13" s="32" t="str">
        <f aca="false">IFERROR(IF($A13="","",INDEX('11_ASSAY RESULTS'!$M$5:$M$44,MATCH($A13&amp;"|"&amp;$B13,'11_ASSAY RESULTS'!$P$5:$P$44,0))),"")</f>
        <v/>
      </c>
      <c r="M13" s="21" t="str">
        <f aca="false">IFERROR(IF(AND(K13="",L13=""),"",AVERAGE(K13:L13)),"")</f>
        <v/>
      </c>
      <c r="N13" s="41" t="str">
        <f aca="false">IFERROR(IF(OR(M13="",I13="",J13=""),"",M13*J13*0.09008/I13*100),"")</f>
        <v/>
      </c>
    </row>
    <row r="14" customFormat="false" ht="15.75" hidden="false" customHeight="true" outlineLevel="0" collapsed="false">
      <c r="A14" s="32" t="str">
        <f aca="false">IF('09_BATCH GROWTH LOG'!B14="","",'09_BATCH GROWTH LOG'!B14)</f>
        <v>F2</v>
      </c>
      <c r="B14" s="32" t="n">
        <f aca="false">IF('09_BATCH GROWTH LOG'!C14="","",'09_BATCH GROWTH LOG'!C14)</f>
        <v>12</v>
      </c>
      <c r="C14" s="32" t="n">
        <f aca="false">IF('09_BATCH GROWTH LOG'!F14="","",'09_BATCH GROWTH LOG'!F14)</f>
        <v>5.48</v>
      </c>
      <c r="D14" s="32" t="str">
        <f aca="false">IF('09_BATCH GROWTH LOG'!G14="","",'09_BATCH GROWTH LOG'!G14)</f>
        <v>NA</v>
      </c>
      <c r="E14" s="32" t="str">
        <f aca="false">IFERROR(IF($A14="","",INDEX('11_ASSAY RESULTS'!$E$5:$E$44,MATCH($A14&amp;"|"&amp;$B14,'11_ASSAY RESULTS'!$P$5:$P$44,0))),"")</f>
        <v/>
      </c>
      <c r="F14" s="21" t="str">
        <f aca="false">IFERROR(IF(OR(E14="",'10_STANDARD CURVES'!$B$15=""),"",(E14-'10_STANDARD CURVES'!$B$16)/'10_STANDARD CURVES'!$B$15*IF(IFERROR(INDEX('11_ASSAY RESULTS'!$F$5:$F$44,MATCH($A14&amp;"|"&amp;$B14,'11_ASSAY RESULTS'!$P$5:$P$44,0)),"")="",1,IFERROR(INDEX('11_ASSAY RESULTS'!$F$5:$F$44,MATCH($A14&amp;"|"&amp;$B14,'11_ASSAY RESULTS'!$P$5:$P$44,0)),""))),"")</f>
        <v/>
      </c>
      <c r="G14" s="32" t="str">
        <f aca="false">IFERROR(IF($A14="","",INDEX('11_ASSAY RESULTS'!$G$5:$G$44,MATCH($A14&amp;"|"&amp;$B14,'11_ASSAY RESULTS'!$P$5:$P$44,0))),"")</f>
        <v/>
      </c>
      <c r="H14" s="21" t="str">
        <f aca="false">IFERROR(IF(OR(G14="",'10_STANDARD CURVES'!$F$15=""),"",(G14-'10_STANDARD CURVES'!$F$16)/'10_STANDARD CURVES'!$F$15*IF(IFERROR(INDEX('11_ASSAY RESULTS'!$H$5:$H$44,MATCH($A14&amp;"|"&amp;$B14,'11_ASSAY RESULTS'!$P$5:$P$44,0)),"")="",1,IFERROR(INDEX('11_ASSAY RESULTS'!$H$5:$H$44,MATCH($A14&amp;"|"&amp;$B14,'11_ASSAY RESULTS'!$P$5:$P$44,0)),""))),"")</f>
        <v/>
      </c>
      <c r="I14" s="32" t="str">
        <f aca="false">IFERROR(IF($A14="","",INDEX('11_ASSAY RESULTS'!$I$5:$I$44,MATCH($A14&amp;"|"&amp;$B14,'11_ASSAY RESULTS'!$P$5:$P$44,0))),"")</f>
        <v/>
      </c>
      <c r="J14" s="32" t="str">
        <f aca="false">IFERROR(IF($A14="","",INDEX('11_ASSAY RESULTS'!$J$5:$J$44,MATCH($A14&amp;"|"&amp;$B14,'11_ASSAY RESULTS'!$P$5:$P$44,0))),"")</f>
        <v/>
      </c>
      <c r="K14" s="32" t="str">
        <f aca="false">IFERROR(IF($A14="","",INDEX('11_ASSAY RESULTS'!$L$5:$L$44,MATCH($A14&amp;"|"&amp;$B14,'11_ASSAY RESULTS'!$P$5:$P$44,0))),"")</f>
        <v/>
      </c>
      <c r="L14" s="32" t="str">
        <f aca="false">IFERROR(IF($A14="","",INDEX('11_ASSAY RESULTS'!$M$5:$M$44,MATCH($A14&amp;"|"&amp;$B14,'11_ASSAY RESULTS'!$P$5:$P$44,0))),"")</f>
        <v/>
      </c>
      <c r="M14" s="21" t="str">
        <f aca="false">IFERROR(IF(AND(K14="",L14=""),"",AVERAGE(K14:L14)),"")</f>
        <v/>
      </c>
      <c r="N14" s="41" t="str">
        <f aca="false">IFERROR(IF(OR(M14="",I14="",J14=""),"",M14*J14*0.09008/I14*100),"")</f>
        <v/>
      </c>
    </row>
    <row r="15" customFormat="false" ht="15.75" hidden="false" customHeight="true" outlineLevel="0" collapsed="false">
      <c r="A15" s="32" t="str">
        <f aca="false">IF('09_BATCH GROWTH LOG'!B15="","",'09_BATCH GROWTH LOG'!B15)</f>
        <v>F2</v>
      </c>
      <c r="B15" s="32" t="n">
        <f aca="false">IF('09_BATCH GROWTH LOG'!C15="","",'09_BATCH GROWTH LOG'!C15)</f>
        <v>24</v>
      </c>
      <c r="C15" s="32" t="n">
        <f aca="false">IF('09_BATCH GROWTH LOG'!F15="","",'09_BATCH GROWTH LOG'!F15)</f>
        <v>5.4</v>
      </c>
      <c r="D15" s="32" t="str">
        <f aca="false">IF('09_BATCH GROWTH LOG'!G15="","",'09_BATCH GROWTH LOG'!G15)</f>
        <v>NA</v>
      </c>
      <c r="E15" s="32" t="str">
        <f aca="false">IFERROR(IF($A15="","",INDEX('11_ASSAY RESULTS'!$E$5:$E$44,MATCH($A15&amp;"|"&amp;$B15,'11_ASSAY RESULTS'!$P$5:$P$44,0))),"")</f>
        <v/>
      </c>
      <c r="F15" s="21" t="str">
        <f aca="false">IFERROR(IF(OR(E15="",'10_STANDARD CURVES'!$B$15=""),"",(E15-'10_STANDARD CURVES'!$B$16)/'10_STANDARD CURVES'!$B$15*IF(IFERROR(INDEX('11_ASSAY RESULTS'!$F$5:$F$44,MATCH($A15&amp;"|"&amp;$B15,'11_ASSAY RESULTS'!$P$5:$P$44,0)),"")="",1,IFERROR(INDEX('11_ASSAY RESULTS'!$F$5:$F$44,MATCH($A15&amp;"|"&amp;$B15,'11_ASSAY RESULTS'!$P$5:$P$44,0)),""))),"")</f>
        <v/>
      </c>
      <c r="G15" s="32" t="str">
        <f aca="false">IFERROR(IF($A15="","",INDEX('11_ASSAY RESULTS'!$G$5:$G$44,MATCH($A15&amp;"|"&amp;$B15,'11_ASSAY RESULTS'!$P$5:$P$44,0))),"")</f>
        <v/>
      </c>
      <c r="H15" s="21" t="str">
        <f aca="false">IFERROR(IF(OR(G15="",'10_STANDARD CURVES'!$F$15=""),"",(G15-'10_STANDARD CURVES'!$F$16)/'10_STANDARD CURVES'!$F$15*IF(IFERROR(INDEX('11_ASSAY RESULTS'!$H$5:$H$44,MATCH($A15&amp;"|"&amp;$B15,'11_ASSAY RESULTS'!$P$5:$P$44,0)),"")="",1,IFERROR(INDEX('11_ASSAY RESULTS'!$H$5:$H$44,MATCH($A15&amp;"|"&amp;$B15,'11_ASSAY RESULTS'!$P$5:$P$44,0)),""))),"")</f>
        <v/>
      </c>
      <c r="I15" s="32" t="str">
        <f aca="false">IFERROR(IF($A15="","",INDEX('11_ASSAY RESULTS'!$I$5:$I$44,MATCH($A15&amp;"|"&amp;$B15,'11_ASSAY RESULTS'!$P$5:$P$44,0))),"")</f>
        <v/>
      </c>
      <c r="J15" s="32" t="str">
        <f aca="false">IFERROR(IF($A15="","",INDEX('11_ASSAY RESULTS'!$J$5:$J$44,MATCH($A15&amp;"|"&amp;$B15,'11_ASSAY RESULTS'!$P$5:$P$44,0))),"")</f>
        <v/>
      </c>
      <c r="K15" s="32" t="str">
        <f aca="false">IFERROR(IF($A15="","",INDEX('11_ASSAY RESULTS'!$L$5:$L$44,MATCH($A15&amp;"|"&amp;$B15,'11_ASSAY RESULTS'!$P$5:$P$44,0))),"")</f>
        <v/>
      </c>
      <c r="L15" s="32" t="str">
        <f aca="false">IFERROR(IF($A15="","",INDEX('11_ASSAY RESULTS'!$M$5:$M$44,MATCH($A15&amp;"|"&amp;$B15,'11_ASSAY RESULTS'!$P$5:$P$44,0))),"")</f>
        <v/>
      </c>
      <c r="M15" s="21" t="str">
        <f aca="false">IFERROR(IF(AND(K15="",L15=""),"",AVERAGE(K15:L15)),"")</f>
        <v/>
      </c>
      <c r="N15" s="41" t="str">
        <f aca="false">IFERROR(IF(OR(M15="",I15="",J15=""),"",M15*J15*0.09008/I15*100),"")</f>
        <v/>
      </c>
    </row>
    <row r="16" customFormat="false" ht="15.75" hidden="false" customHeight="true" outlineLevel="0" collapsed="false">
      <c r="A16" s="32" t="str">
        <f aca="false">IF('09_BATCH GROWTH LOG'!B16="","",'09_BATCH GROWTH LOG'!B16)</f>
        <v>F2</v>
      </c>
      <c r="B16" s="32" t="n">
        <f aca="false">IF('09_BATCH GROWTH LOG'!C16="","",'09_BATCH GROWTH LOG'!C16)</f>
        <v>30</v>
      </c>
      <c r="C16" s="32" t="n">
        <f aca="false">IF('09_BATCH GROWTH LOG'!F16="","",'09_BATCH GROWTH LOG'!F16)</f>
        <v>5.3</v>
      </c>
      <c r="D16" s="32" t="str">
        <f aca="false">IF('09_BATCH GROWTH LOG'!G16="","",'09_BATCH GROWTH LOG'!G16)</f>
        <v>NA</v>
      </c>
      <c r="E16" s="32" t="str">
        <f aca="false">IFERROR(IF($A16="","",INDEX('11_ASSAY RESULTS'!$E$5:$E$44,MATCH($A16&amp;"|"&amp;$B16,'11_ASSAY RESULTS'!$P$5:$P$44,0))),"")</f>
        <v/>
      </c>
      <c r="F16" s="21" t="str">
        <f aca="false">IFERROR(IF(OR(E16="",'10_STANDARD CURVES'!$B$15=""),"",(E16-'10_STANDARD CURVES'!$B$16)/'10_STANDARD CURVES'!$B$15*IF(IFERROR(INDEX('11_ASSAY RESULTS'!$F$5:$F$44,MATCH($A16&amp;"|"&amp;$B16,'11_ASSAY RESULTS'!$P$5:$P$44,0)),"")="",1,IFERROR(INDEX('11_ASSAY RESULTS'!$F$5:$F$44,MATCH($A16&amp;"|"&amp;$B16,'11_ASSAY RESULTS'!$P$5:$P$44,0)),""))),"")</f>
        <v/>
      </c>
      <c r="G16" s="32" t="str">
        <f aca="false">IFERROR(IF($A16="","",INDEX('11_ASSAY RESULTS'!$G$5:$G$44,MATCH($A16&amp;"|"&amp;$B16,'11_ASSAY RESULTS'!$P$5:$P$44,0))),"")</f>
        <v/>
      </c>
      <c r="H16" s="21" t="str">
        <f aca="false">IFERROR(IF(OR(G16="",'10_STANDARD CURVES'!$F$15=""),"",(G16-'10_STANDARD CURVES'!$F$16)/'10_STANDARD CURVES'!$F$15*IF(IFERROR(INDEX('11_ASSAY RESULTS'!$H$5:$H$44,MATCH($A16&amp;"|"&amp;$B16,'11_ASSAY RESULTS'!$P$5:$P$44,0)),"")="",1,IFERROR(INDEX('11_ASSAY RESULTS'!$H$5:$H$44,MATCH($A16&amp;"|"&amp;$B16,'11_ASSAY RESULTS'!$P$5:$P$44,0)),""))),"")</f>
        <v/>
      </c>
      <c r="I16" s="32" t="str">
        <f aca="false">IFERROR(IF($A16="","",INDEX('11_ASSAY RESULTS'!$I$5:$I$44,MATCH($A16&amp;"|"&amp;$B16,'11_ASSAY RESULTS'!$P$5:$P$44,0))),"")</f>
        <v/>
      </c>
      <c r="J16" s="32" t="str">
        <f aca="false">IFERROR(IF($A16="","",INDEX('11_ASSAY RESULTS'!$J$5:$J$44,MATCH($A16&amp;"|"&amp;$B16,'11_ASSAY RESULTS'!$P$5:$P$44,0))),"")</f>
        <v/>
      </c>
      <c r="K16" s="32" t="str">
        <f aca="false">IFERROR(IF($A16="","",INDEX('11_ASSAY RESULTS'!$L$5:$L$44,MATCH($A16&amp;"|"&amp;$B16,'11_ASSAY RESULTS'!$P$5:$P$44,0))),"")</f>
        <v/>
      </c>
      <c r="L16" s="32" t="str">
        <f aca="false">IFERROR(IF($A16="","",INDEX('11_ASSAY RESULTS'!$M$5:$M$44,MATCH($A16&amp;"|"&amp;$B16,'11_ASSAY RESULTS'!$P$5:$P$44,0))),"")</f>
        <v/>
      </c>
      <c r="M16" s="21" t="str">
        <f aca="false">IFERROR(IF(AND(K16="",L16=""),"",AVERAGE(K16:L16)),"")</f>
        <v/>
      </c>
      <c r="N16" s="41" t="str">
        <f aca="false">IFERROR(IF(OR(M16="",I16="",J16=""),"",M16*J16*0.09008/I16*100),"")</f>
        <v/>
      </c>
    </row>
    <row r="17" customFormat="false" ht="15.75" hidden="false" customHeight="true" outlineLevel="0" collapsed="false">
      <c r="A17" s="32" t="str">
        <f aca="false">IF('09_BATCH GROWTH LOG'!B17="","",'09_BATCH GROWTH LOG'!B17)</f>
        <v>F2</v>
      </c>
      <c r="B17" s="32" t="n">
        <f aca="false">IF('09_BATCH GROWTH LOG'!C17="","",'09_BATCH GROWTH LOG'!C17)</f>
        <v>36</v>
      </c>
      <c r="C17" s="32" t="n">
        <f aca="false">IF('09_BATCH GROWTH LOG'!F17="","",'09_BATCH GROWTH LOG'!F17)</f>
        <v>5.2</v>
      </c>
      <c r="D17" s="32" t="str">
        <f aca="false">IF('09_BATCH GROWTH LOG'!G17="","",'09_BATCH GROWTH LOG'!G17)</f>
        <v>NA</v>
      </c>
      <c r="E17" s="32" t="str">
        <f aca="false">IFERROR(IF($A17="","",INDEX('11_ASSAY RESULTS'!$E$5:$E$44,MATCH($A17&amp;"|"&amp;$B17,'11_ASSAY RESULTS'!$P$5:$P$44,0))),"")</f>
        <v/>
      </c>
      <c r="F17" s="21" t="str">
        <f aca="false">IFERROR(IF(OR(E17="",'10_STANDARD CURVES'!$B$15=""),"",(E17-'10_STANDARD CURVES'!$B$16)/'10_STANDARD CURVES'!$B$15*IF(IFERROR(INDEX('11_ASSAY RESULTS'!$F$5:$F$44,MATCH($A17&amp;"|"&amp;$B17,'11_ASSAY RESULTS'!$P$5:$P$44,0)),"")="",1,IFERROR(INDEX('11_ASSAY RESULTS'!$F$5:$F$44,MATCH($A17&amp;"|"&amp;$B17,'11_ASSAY RESULTS'!$P$5:$P$44,0)),""))),"")</f>
        <v/>
      </c>
      <c r="G17" s="32" t="str">
        <f aca="false">IFERROR(IF($A17="","",INDEX('11_ASSAY RESULTS'!$G$5:$G$44,MATCH($A17&amp;"|"&amp;$B17,'11_ASSAY RESULTS'!$P$5:$P$44,0))),"")</f>
        <v/>
      </c>
      <c r="H17" s="21" t="str">
        <f aca="false">IFERROR(IF(OR(G17="",'10_STANDARD CURVES'!$F$15=""),"",(G17-'10_STANDARD CURVES'!$F$16)/'10_STANDARD CURVES'!$F$15*IF(IFERROR(INDEX('11_ASSAY RESULTS'!$H$5:$H$44,MATCH($A17&amp;"|"&amp;$B17,'11_ASSAY RESULTS'!$P$5:$P$44,0)),"")="",1,IFERROR(INDEX('11_ASSAY RESULTS'!$H$5:$H$44,MATCH($A17&amp;"|"&amp;$B17,'11_ASSAY RESULTS'!$P$5:$P$44,0)),""))),"")</f>
        <v/>
      </c>
      <c r="I17" s="32" t="str">
        <f aca="false">IFERROR(IF($A17="","",INDEX('11_ASSAY RESULTS'!$I$5:$I$44,MATCH($A17&amp;"|"&amp;$B17,'11_ASSAY RESULTS'!$P$5:$P$44,0))),"")</f>
        <v/>
      </c>
      <c r="J17" s="32" t="str">
        <f aca="false">IFERROR(IF($A17="","",INDEX('11_ASSAY RESULTS'!$J$5:$J$44,MATCH($A17&amp;"|"&amp;$B17,'11_ASSAY RESULTS'!$P$5:$P$44,0))),"")</f>
        <v/>
      </c>
      <c r="K17" s="32" t="str">
        <f aca="false">IFERROR(IF($A17="","",INDEX('11_ASSAY RESULTS'!$L$5:$L$44,MATCH($A17&amp;"|"&amp;$B17,'11_ASSAY RESULTS'!$P$5:$P$44,0))),"")</f>
        <v/>
      </c>
      <c r="L17" s="32" t="str">
        <f aca="false">IFERROR(IF($A17="","",INDEX('11_ASSAY RESULTS'!$M$5:$M$44,MATCH($A17&amp;"|"&amp;$B17,'11_ASSAY RESULTS'!$P$5:$P$44,0))),"")</f>
        <v/>
      </c>
      <c r="M17" s="21" t="str">
        <f aca="false">IFERROR(IF(AND(K17="",L17=""),"",AVERAGE(K17:L17)),"")</f>
        <v/>
      </c>
      <c r="N17" s="41" t="str">
        <f aca="false">IFERROR(IF(OR(M17="",I17="",J17=""),"",M17*J17*0.09008/I17*100),"")</f>
        <v/>
      </c>
    </row>
    <row r="18" customFormat="false" ht="15.75" hidden="false" customHeight="true" outlineLevel="0" collapsed="false">
      <c r="A18" s="32" t="str">
        <f aca="false">IF('09_BATCH GROWTH LOG'!B18="","",'09_BATCH GROWTH LOG'!B18)</f>
        <v>F2</v>
      </c>
      <c r="B18" s="32" t="n">
        <f aca="false">IF('09_BATCH GROWTH LOG'!C18="","",'09_BATCH GROWTH LOG'!C18)</f>
        <v>48</v>
      </c>
      <c r="C18" s="32" t="n">
        <f aca="false">IF('09_BATCH GROWTH LOG'!F18="","",'09_BATCH GROWTH LOG'!F18)</f>
        <v>5.12</v>
      </c>
      <c r="D18" s="32" t="str">
        <f aca="false">IF('09_BATCH GROWTH LOG'!G18="","",'09_BATCH GROWTH LOG'!G18)</f>
        <v>NA</v>
      </c>
      <c r="E18" s="32" t="str">
        <f aca="false">IFERROR(IF($A18="","",INDEX('11_ASSAY RESULTS'!$E$5:$E$44,MATCH($A18&amp;"|"&amp;$B18,'11_ASSAY RESULTS'!$P$5:$P$44,0))),"")</f>
        <v/>
      </c>
      <c r="F18" s="21" t="str">
        <f aca="false">IFERROR(IF(OR(E18="",'10_STANDARD CURVES'!$B$15=""),"",(E18-'10_STANDARD CURVES'!$B$16)/'10_STANDARD CURVES'!$B$15*IF(IFERROR(INDEX('11_ASSAY RESULTS'!$F$5:$F$44,MATCH($A18&amp;"|"&amp;$B18,'11_ASSAY RESULTS'!$P$5:$P$44,0)),"")="",1,IFERROR(INDEX('11_ASSAY RESULTS'!$F$5:$F$44,MATCH($A18&amp;"|"&amp;$B18,'11_ASSAY RESULTS'!$P$5:$P$44,0)),""))),"")</f>
        <v/>
      </c>
      <c r="G18" s="32" t="str">
        <f aca="false">IFERROR(IF($A18="","",INDEX('11_ASSAY RESULTS'!$G$5:$G$44,MATCH($A18&amp;"|"&amp;$B18,'11_ASSAY RESULTS'!$P$5:$P$44,0))),"")</f>
        <v/>
      </c>
      <c r="H18" s="21" t="str">
        <f aca="false">IFERROR(IF(OR(G18="",'10_STANDARD CURVES'!$F$15=""),"",(G18-'10_STANDARD CURVES'!$F$16)/'10_STANDARD CURVES'!$F$15*IF(IFERROR(INDEX('11_ASSAY RESULTS'!$H$5:$H$44,MATCH($A18&amp;"|"&amp;$B18,'11_ASSAY RESULTS'!$P$5:$P$44,0)),"")="",1,IFERROR(INDEX('11_ASSAY RESULTS'!$H$5:$H$44,MATCH($A18&amp;"|"&amp;$B18,'11_ASSAY RESULTS'!$P$5:$P$44,0)),""))),"")</f>
        <v/>
      </c>
      <c r="I18" s="32" t="str">
        <f aca="false">IFERROR(IF($A18="","",INDEX('11_ASSAY RESULTS'!$I$5:$I$44,MATCH($A18&amp;"|"&amp;$B18,'11_ASSAY RESULTS'!$P$5:$P$44,0))),"")</f>
        <v/>
      </c>
      <c r="J18" s="32" t="str">
        <f aca="false">IFERROR(IF($A18="","",INDEX('11_ASSAY RESULTS'!$J$5:$J$44,MATCH($A18&amp;"|"&amp;$B18,'11_ASSAY RESULTS'!$P$5:$P$44,0))),"")</f>
        <v/>
      </c>
      <c r="K18" s="32" t="str">
        <f aca="false">IFERROR(IF($A18="","",INDEX('11_ASSAY RESULTS'!$L$5:$L$44,MATCH($A18&amp;"|"&amp;$B18,'11_ASSAY RESULTS'!$P$5:$P$44,0))),"")</f>
        <v/>
      </c>
      <c r="L18" s="32" t="str">
        <f aca="false">IFERROR(IF($A18="","",INDEX('11_ASSAY RESULTS'!$M$5:$M$44,MATCH($A18&amp;"|"&amp;$B18,'11_ASSAY RESULTS'!$P$5:$P$44,0))),"")</f>
        <v/>
      </c>
      <c r="M18" s="21" t="str">
        <f aca="false">IFERROR(IF(AND(K18="",L18=""),"",AVERAGE(K18:L18)),"")</f>
        <v/>
      </c>
      <c r="N18" s="41" t="str">
        <f aca="false">IFERROR(IF(OR(M18="",I18="",J18=""),"",M18*J18*0.09008/I18*100),"")</f>
        <v/>
      </c>
    </row>
    <row r="19" customFormat="false" ht="15.75" hidden="false" customHeight="true" outlineLevel="0" collapsed="false">
      <c r="A19" s="32" t="str">
        <f aca="false">IF('09_BATCH GROWTH LOG'!B19="","",'09_BATCH GROWTH LOG'!B19)</f>
        <v/>
      </c>
      <c r="B19" s="32" t="str">
        <f aca="false">IF('09_BATCH GROWTH LOG'!C19="","",'09_BATCH GROWTH LOG'!C19)</f>
        <v/>
      </c>
      <c r="C19" s="32" t="str">
        <f aca="false">IF('09_BATCH GROWTH LOG'!F19="","",'09_BATCH GROWTH LOG'!F19)</f>
        <v/>
      </c>
      <c r="D19" s="32" t="str">
        <f aca="false">IF('09_BATCH GROWTH LOG'!G19="","",'09_BATCH GROWTH LOG'!G19)</f>
        <v/>
      </c>
      <c r="E19" s="32" t="str">
        <f aca="false">IFERROR(IF($A19="","",INDEX('11_ASSAY RESULTS'!$E$5:$E$44,MATCH($A19&amp;"|"&amp;$B19,'11_ASSAY RESULTS'!$P$5:$P$44,0))),"")</f>
        <v/>
      </c>
      <c r="F19" s="21" t="str">
        <f aca="false">IFERROR(IF(OR(E19="",'10_STANDARD CURVES'!$B$15=""),"",(E19-'10_STANDARD CURVES'!$B$16)/'10_STANDARD CURVES'!$B$15*IF(IFERROR(INDEX('11_ASSAY RESULTS'!$F$5:$F$44,MATCH($A19&amp;"|"&amp;$B19,'11_ASSAY RESULTS'!$P$5:$P$44,0)),"")="",1,IFERROR(INDEX('11_ASSAY RESULTS'!$F$5:$F$44,MATCH($A19&amp;"|"&amp;$B19,'11_ASSAY RESULTS'!$P$5:$P$44,0)),""))),"")</f>
        <v/>
      </c>
      <c r="G19" s="32" t="str">
        <f aca="false">IFERROR(IF($A19="","",INDEX('11_ASSAY RESULTS'!$G$5:$G$44,MATCH($A19&amp;"|"&amp;$B19,'11_ASSAY RESULTS'!$P$5:$P$44,0))),"")</f>
        <v/>
      </c>
      <c r="H19" s="21" t="str">
        <f aca="false">IFERROR(IF(OR(G19="",'10_STANDARD CURVES'!$F$15=""),"",(G19-'10_STANDARD CURVES'!$F$16)/'10_STANDARD CURVES'!$F$15*IF(IFERROR(INDEX('11_ASSAY RESULTS'!$H$5:$H$44,MATCH($A19&amp;"|"&amp;$B19,'11_ASSAY RESULTS'!$P$5:$P$44,0)),"")="",1,IFERROR(INDEX('11_ASSAY RESULTS'!$H$5:$H$44,MATCH($A19&amp;"|"&amp;$B19,'11_ASSAY RESULTS'!$P$5:$P$44,0)),""))),"")</f>
        <v/>
      </c>
      <c r="I19" s="32" t="str">
        <f aca="false">IFERROR(IF($A19="","",INDEX('11_ASSAY RESULTS'!$I$5:$I$44,MATCH($A19&amp;"|"&amp;$B19,'11_ASSAY RESULTS'!$P$5:$P$44,0))),"")</f>
        <v/>
      </c>
      <c r="J19" s="32" t="str">
        <f aca="false">IFERROR(IF($A19="","",INDEX('11_ASSAY RESULTS'!$J$5:$J$44,MATCH($A19&amp;"|"&amp;$B19,'11_ASSAY RESULTS'!$P$5:$P$44,0))),"")</f>
        <v/>
      </c>
      <c r="K19" s="32" t="str">
        <f aca="false">IFERROR(IF($A19="","",INDEX('11_ASSAY RESULTS'!$L$5:$L$44,MATCH($A19&amp;"|"&amp;$B19,'11_ASSAY RESULTS'!$P$5:$P$44,0))),"")</f>
        <v/>
      </c>
      <c r="L19" s="32" t="str">
        <f aca="false">IFERROR(IF($A19="","",INDEX('11_ASSAY RESULTS'!$M$5:$M$44,MATCH($A19&amp;"|"&amp;$B19,'11_ASSAY RESULTS'!$P$5:$P$44,0))),"")</f>
        <v/>
      </c>
      <c r="M19" s="21" t="str">
        <f aca="false">IFERROR(IF(AND(K19="",L19=""),"",AVERAGE(K19:L19)),"")</f>
        <v/>
      </c>
      <c r="N19" s="41" t="str">
        <f aca="false">IFERROR(IF(OR(M19="",I19="",J19=""),"",M19*J19*0.09008/I19*100),"")</f>
        <v/>
      </c>
    </row>
    <row r="20" customFormat="false" ht="15.75" hidden="false" customHeight="true" outlineLevel="0" collapsed="false">
      <c r="A20" s="32" t="str">
        <f aca="false">IF('09_BATCH GROWTH LOG'!B20="","",'09_BATCH GROWTH LOG'!B20)</f>
        <v/>
      </c>
      <c r="B20" s="32" t="str">
        <f aca="false">IF('09_BATCH GROWTH LOG'!C20="","",'09_BATCH GROWTH LOG'!C20)</f>
        <v/>
      </c>
      <c r="C20" s="32" t="str">
        <f aca="false">IF('09_BATCH GROWTH LOG'!F20="","",'09_BATCH GROWTH LOG'!F20)</f>
        <v/>
      </c>
      <c r="D20" s="32" t="str">
        <f aca="false">IF('09_BATCH GROWTH LOG'!G20="","",'09_BATCH GROWTH LOG'!G20)</f>
        <v/>
      </c>
      <c r="E20" s="32" t="str">
        <f aca="false">IFERROR(IF($A20="","",INDEX('11_ASSAY RESULTS'!$E$5:$E$44,MATCH($A20&amp;"|"&amp;$B20,'11_ASSAY RESULTS'!$P$5:$P$44,0))),"")</f>
        <v/>
      </c>
      <c r="F20" s="21" t="str">
        <f aca="false">IFERROR(IF(OR(E20="",'10_STANDARD CURVES'!$B$15=""),"",(E20-'10_STANDARD CURVES'!$B$16)/'10_STANDARD CURVES'!$B$15*IF(IFERROR(INDEX('11_ASSAY RESULTS'!$F$5:$F$44,MATCH($A20&amp;"|"&amp;$B20,'11_ASSAY RESULTS'!$P$5:$P$44,0)),"")="",1,IFERROR(INDEX('11_ASSAY RESULTS'!$F$5:$F$44,MATCH($A20&amp;"|"&amp;$B20,'11_ASSAY RESULTS'!$P$5:$P$44,0)),""))),"")</f>
        <v/>
      </c>
      <c r="G20" s="32" t="str">
        <f aca="false">IFERROR(IF($A20="","",INDEX('11_ASSAY RESULTS'!$G$5:$G$44,MATCH($A20&amp;"|"&amp;$B20,'11_ASSAY RESULTS'!$P$5:$P$44,0))),"")</f>
        <v/>
      </c>
      <c r="H20" s="21" t="str">
        <f aca="false">IFERROR(IF(OR(G20="",'10_STANDARD CURVES'!$F$15=""),"",(G20-'10_STANDARD CURVES'!$F$16)/'10_STANDARD CURVES'!$F$15*IF(IFERROR(INDEX('11_ASSAY RESULTS'!$H$5:$H$44,MATCH($A20&amp;"|"&amp;$B20,'11_ASSAY RESULTS'!$P$5:$P$44,0)),"")="",1,IFERROR(INDEX('11_ASSAY RESULTS'!$H$5:$H$44,MATCH($A20&amp;"|"&amp;$B20,'11_ASSAY RESULTS'!$P$5:$P$44,0)),""))),"")</f>
        <v/>
      </c>
      <c r="I20" s="32" t="str">
        <f aca="false">IFERROR(IF($A20="","",INDEX('11_ASSAY RESULTS'!$I$5:$I$44,MATCH($A20&amp;"|"&amp;$B20,'11_ASSAY RESULTS'!$P$5:$P$44,0))),"")</f>
        <v/>
      </c>
      <c r="J20" s="32" t="str">
        <f aca="false">IFERROR(IF($A20="","",INDEX('11_ASSAY RESULTS'!$J$5:$J$44,MATCH($A20&amp;"|"&amp;$B20,'11_ASSAY RESULTS'!$P$5:$P$44,0))),"")</f>
        <v/>
      </c>
      <c r="K20" s="32" t="str">
        <f aca="false">IFERROR(IF($A20="","",INDEX('11_ASSAY RESULTS'!$L$5:$L$44,MATCH($A20&amp;"|"&amp;$B20,'11_ASSAY RESULTS'!$P$5:$P$44,0))),"")</f>
        <v/>
      </c>
      <c r="L20" s="32" t="str">
        <f aca="false">IFERROR(IF($A20="","",INDEX('11_ASSAY RESULTS'!$M$5:$M$44,MATCH($A20&amp;"|"&amp;$B20,'11_ASSAY RESULTS'!$P$5:$P$44,0))),"")</f>
        <v/>
      </c>
      <c r="M20" s="21" t="str">
        <f aca="false">IFERROR(IF(AND(K20="",L20=""),"",AVERAGE(K20:L20)),"")</f>
        <v/>
      </c>
      <c r="N20" s="41" t="str">
        <f aca="false">IFERROR(IF(OR(M20="",I20="",J20=""),"",M20*J20*0.09008/I20*100),"")</f>
        <v/>
      </c>
    </row>
    <row r="21" customFormat="false" ht="15.75" hidden="false" customHeight="true" outlineLevel="0" collapsed="false">
      <c r="A21" s="32" t="str">
        <f aca="false">IF('09_BATCH GROWTH LOG'!B21="","",'09_BATCH GROWTH LOG'!B21)</f>
        <v/>
      </c>
      <c r="B21" s="32" t="str">
        <f aca="false">IF('09_BATCH GROWTH LOG'!C21="","",'09_BATCH GROWTH LOG'!C21)</f>
        <v/>
      </c>
      <c r="C21" s="32" t="str">
        <f aca="false">IF('09_BATCH GROWTH LOG'!F21="","",'09_BATCH GROWTH LOG'!F21)</f>
        <v/>
      </c>
      <c r="D21" s="32" t="str">
        <f aca="false">IF('09_BATCH GROWTH LOG'!G21="","",'09_BATCH GROWTH LOG'!G21)</f>
        <v/>
      </c>
      <c r="E21" s="32" t="str">
        <f aca="false">IFERROR(IF($A21="","",INDEX('11_ASSAY RESULTS'!$E$5:$E$44,MATCH($A21&amp;"|"&amp;$B21,'11_ASSAY RESULTS'!$P$5:$P$44,0))),"")</f>
        <v/>
      </c>
      <c r="F21" s="21" t="str">
        <f aca="false">IFERROR(IF(OR(E21="",'10_STANDARD CURVES'!$B$15=""),"",(E21-'10_STANDARD CURVES'!$B$16)/'10_STANDARD CURVES'!$B$15*IF(IFERROR(INDEX('11_ASSAY RESULTS'!$F$5:$F$44,MATCH($A21&amp;"|"&amp;$B21,'11_ASSAY RESULTS'!$P$5:$P$44,0)),"")="",1,IFERROR(INDEX('11_ASSAY RESULTS'!$F$5:$F$44,MATCH($A21&amp;"|"&amp;$B21,'11_ASSAY RESULTS'!$P$5:$P$44,0)),""))),"")</f>
        <v/>
      </c>
      <c r="G21" s="32" t="str">
        <f aca="false">IFERROR(IF($A21="","",INDEX('11_ASSAY RESULTS'!$G$5:$G$44,MATCH($A21&amp;"|"&amp;$B21,'11_ASSAY RESULTS'!$P$5:$P$44,0))),"")</f>
        <v/>
      </c>
      <c r="H21" s="21" t="str">
        <f aca="false">IFERROR(IF(OR(G21="",'10_STANDARD CURVES'!$F$15=""),"",(G21-'10_STANDARD CURVES'!$F$16)/'10_STANDARD CURVES'!$F$15*IF(IFERROR(INDEX('11_ASSAY RESULTS'!$H$5:$H$44,MATCH($A21&amp;"|"&amp;$B21,'11_ASSAY RESULTS'!$P$5:$P$44,0)),"")="",1,IFERROR(INDEX('11_ASSAY RESULTS'!$H$5:$H$44,MATCH($A21&amp;"|"&amp;$B21,'11_ASSAY RESULTS'!$P$5:$P$44,0)),""))),"")</f>
        <v/>
      </c>
      <c r="I21" s="32" t="str">
        <f aca="false">IFERROR(IF($A21="","",INDEX('11_ASSAY RESULTS'!$I$5:$I$44,MATCH($A21&amp;"|"&amp;$B21,'11_ASSAY RESULTS'!$P$5:$P$44,0))),"")</f>
        <v/>
      </c>
      <c r="J21" s="32" t="str">
        <f aca="false">IFERROR(IF($A21="","",INDEX('11_ASSAY RESULTS'!$J$5:$J$44,MATCH($A21&amp;"|"&amp;$B21,'11_ASSAY RESULTS'!$P$5:$P$44,0))),"")</f>
        <v/>
      </c>
      <c r="K21" s="32" t="str">
        <f aca="false">IFERROR(IF($A21="","",INDEX('11_ASSAY RESULTS'!$L$5:$L$44,MATCH($A21&amp;"|"&amp;$B21,'11_ASSAY RESULTS'!$P$5:$P$44,0))),"")</f>
        <v/>
      </c>
      <c r="L21" s="32" t="str">
        <f aca="false">IFERROR(IF($A21="","",INDEX('11_ASSAY RESULTS'!$M$5:$M$44,MATCH($A21&amp;"|"&amp;$B21,'11_ASSAY RESULTS'!$P$5:$P$44,0))),"")</f>
        <v/>
      </c>
      <c r="M21" s="21" t="str">
        <f aca="false">IFERROR(IF(AND(K21="",L21=""),"",AVERAGE(K21:L21)),"")</f>
        <v/>
      </c>
      <c r="N21" s="41" t="str">
        <f aca="false">IFERROR(IF(OR(M21="",I21="",J21=""),"",M21*J21*0.09008/I21*100),"")</f>
        <v/>
      </c>
    </row>
    <row r="22" customFormat="false" ht="15.75" hidden="false" customHeight="true" outlineLevel="0" collapsed="false">
      <c r="A22" s="32" t="str">
        <f aca="false">IF('09_BATCH GROWTH LOG'!B22="","",'09_BATCH GROWTH LOG'!B22)</f>
        <v/>
      </c>
      <c r="B22" s="32" t="str">
        <f aca="false">IF('09_BATCH GROWTH LOG'!C22="","",'09_BATCH GROWTH LOG'!C22)</f>
        <v/>
      </c>
      <c r="C22" s="32" t="str">
        <f aca="false">IF('09_BATCH GROWTH LOG'!F22="","",'09_BATCH GROWTH LOG'!F22)</f>
        <v/>
      </c>
      <c r="D22" s="32" t="str">
        <f aca="false">IF('09_BATCH GROWTH LOG'!G22="","",'09_BATCH GROWTH LOG'!G22)</f>
        <v/>
      </c>
      <c r="E22" s="32" t="str">
        <f aca="false">IFERROR(IF($A22="","",INDEX('11_ASSAY RESULTS'!$E$5:$E$44,MATCH($A22&amp;"|"&amp;$B22,'11_ASSAY RESULTS'!$P$5:$P$44,0))),"")</f>
        <v/>
      </c>
      <c r="F22" s="21" t="str">
        <f aca="false">IFERROR(IF(OR(E22="",'10_STANDARD CURVES'!$B$15=""),"",(E22-'10_STANDARD CURVES'!$B$16)/'10_STANDARD CURVES'!$B$15*IF(IFERROR(INDEX('11_ASSAY RESULTS'!$F$5:$F$44,MATCH($A22&amp;"|"&amp;$B22,'11_ASSAY RESULTS'!$P$5:$P$44,0)),"")="",1,IFERROR(INDEX('11_ASSAY RESULTS'!$F$5:$F$44,MATCH($A22&amp;"|"&amp;$B22,'11_ASSAY RESULTS'!$P$5:$P$44,0)),""))),"")</f>
        <v/>
      </c>
      <c r="G22" s="32" t="str">
        <f aca="false">IFERROR(IF($A22="","",INDEX('11_ASSAY RESULTS'!$G$5:$G$44,MATCH($A22&amp;"|"&amp;$B22,'11_ASSAY RESULTS'!$P$5:$P$44,0))),"")</f>
        <v/>
      </c>
      <c r="H22" s="21" t="str">
        <f aca="false">IFERROR(IF(OR(G22="",'10_STANDARD CURVES'!$F$15=""),"",(G22-'10_STANDARD CURVES'!$F$16)/'10_STANDARD CURVES'!$F$15*IF(IFERROR(INDEX('11_ASSAY RESULTS'!$H$5:$H$44,MATCH($A22&amp;"|"&amp;$B22,'11_ASSAY RESULTS'!$P$5:$P$44,0)),"")="",1,IFERROR(INDEX('11_ASSAY RESULTS'!$H$5:$H$44,MATCH($A22&amp;"|"&amp;$B22,'11_ASSAY RESULTS'!$P$5:$P$44,0)),""))),"")</f>
        <v/>
      </c>
      <c r="I22" s="32" t="str">
        <f aca="false">IFERROR(IF($A22="","",INDEX('11_ASSAY RESULTS'!$I$5:$I$44,MATCH($A22&amp;"|"&amp;$B22,'11_ASSAY RESULTS'!$P$5:$P$44,0))),"")</f>
        <v/>
      </c>
      <c r="J22" s="32" t="str">
        <f aca="false">IFERROR(IF($A22="","",INDEX('11_ASSAY RESULTS'!$J$5:$J$44,MATCH($A22&amp;"|"&amp;$B22,'11_ASSAY RESULTS'!$P$5:$P$44,0))),"")</f>
        <v/>
      </c>
      <c r="K22" s="32" t="str">
        <f aca="false">IFERROR(IF($A22="","",INDEX('11_ASSAY RESULTS'!$L$5:$L$44,MATCH($A22&amp;"|"&amp;$B22,'11_ASSAY RESULTS'!$P$5:$P$44,0))),"")</f>
        <v/>
      </c>
      <c r="L22" s="32" t="str">
        <f aca="false">IFERROR(IF($A22="","",INDEX('11_ASSAY RESULTS'!$M$5:$M$44,MATCH($A22&amp;"|"&amp;$B22,'11_ASSAY RESULTS'!$P$5:$P$44,0))),"")</f>
        <v/>
      </c>
      <c r="M22" s="21" t="str">
        <f aca="false">IFERROR(IF(AND(K22="",L22=""),"",AVERAGE(K22:L22)),"")</f>
        <v/>
      </c>
      <c r="N22" s="41" t="str">
        <f aca="false">IFERROR(IF(OR(M22="",I22="",J22=""),"",M22*J22*0.09008/I22*100),"")</f>
        <v/>
      </c>
    </row>
    <row r="23" customFormat="false" ht="15.75" hidden="false" customHeight="true" outlineLevel="0" collapsed="false">
      <c r="A23" s="32" t="str">
        <f aca="false">IF('09_BATCH GROWTH LOG'!B23="","",'09_BATCH GROWTH LOG'!B23)</f>
        <v/>
      </c>
      <c r="B23" s="32" t="str">
        <f aca="false">IF('09_BATCH GROWTH LOG'!C23="","",'09_BATCH GROWTH LOG'!C23)</f>
        <v/>
      </c>
      <c r="C23" s="32" t="str">
        <f aca="false">IF('09_BATCH GROWTH LOG'!F23="","",'09_BATCH GROWTH LOG'!F23)</f>
        <v/>
      </c>
      <c r="D23" s="32" t="str">
        <f aca="false">IF('09_BATCH GROWTH LOG'!G23="","",'09_BATCH GROWTH LOG'!G23)</f>
        <v/>
      </c>
      <c r="E23" s="32" t="str">
        <f aca="false">IFERROR(IF($A23="","",INDEX('11_ASSAY RESULTS'!$E$5:$E$44,MATCH($A23&amp;"|"&amp;$B23,'11_ASSAY RESULTS'!$P$5:$P$44,0))),"")</f>
        <v/>
      </c>
      <c r="F23" s="21" t="str">
        <f aca="false">IFERROR(IF(OR(E23="",'10_STANDARD CURVES'!$B$15=""),"",(E23-'10_STANDARD CURVES'!$B$16)/'10_STANDARD CURVES'!$B$15*IF(IFERROR(INDEX('11_ASSAY RESULTS'!$F$5:$F$44,MATCH($A23&amp;"|"&amp;$B23,'11_ASSAY RESULTS'!$P$5:$P$44,0)),"")="",1,IFERROR(INDEX('11_ASSAY RESULTS'!$F$5:$F$44,MATCH($A23&amp;"|"&amp;$B23,'11_ASSAY RESULTS'!$P$5:$P$44,0)),""))),"")</f>
        <v/>
      </c>
      <c r="G23" s="32" t="str">
        <f aca="false">IFERROR(IF($A23="","",INDEX('11_ASSAY RESULTS'!$G$5:$G$44,MATCH($A23&amp;"|"&amp;$B23,'11_ASSAY RESULTS'!$P$5:$P$44,0))),"")</f>
        <v/>
      </c>
      <c r="H23" s="21" t="str">
        <f aca="false">IFERROR(IF(OR(G23="",'10_STANDARD CURVES'!$F$15=""),"",(G23-'10_STANDARD CURVES'!$F$16)/'10_STANDARD CURVES'!$F$15*IF(IFERROR(INDEX('11_ASSAY RESULTS'!$H$5:$H$44,MATCH($A23&amp;"|"&amp;$B23,'11_ASSAY RESULTS'!$P$5:$P$44,0)),"")="",1,IFERROR(INDEX('11_ASSAY RESULTS'!$H$5:$H$44,MATCH($A23&amp;"|"&amp;$B23,'11_ASSAY RESULTS'!$P$5:$P$44,0)),""))),"")</f>
        <v/>
      </c>
      <c r="I23" s="32" t="str">
        <f aca="false">IFERROR(IF($A23="","",INDEX('11_ASSAY RESULTS'!$I$5:$I$44,MATCH($A23&amp;"|"&amp;$B23,'11_ASSAY RESULTS'!$P$5:$P$44,0))),"")</f>
        <v/>
      </c>
      <c r="J23" s="32" t="str">
        <f aca="false">IFERROR(IF($A23="","",INDEX('11_ASSAY RESULTS'!$J$5:$J$44,MATCH($A23&amp;"|"&amp;$B23,'11_ASSAY RESULTS'!$P$5:$P$44,0))),"")</f>
        <v/>
      </c>
      <c r="K23" s="32" t="str">
        <f aca="false">IFERROR(IF($A23="","",INDEX('11_ASSAY RESULTS'!$L$5:$L$44,MATCH($A23&amp;"|"&amp;$B23,'11_ASSAY RESULTS'!$P$5:$P$44,0))),"")</f>
        <v/>
      </c>
      <c r="L23" s="32" t="str">
        <f aca="false">IFERROR(IF($A23="","",INDEX('11_ASSAY RESULTS'!$M$5:$M$44,MATCH($A23&amp;"|"&amp;$B23,'11_ASSAY RESULTS'!$P$5:$P$44,0))),"")</f>
        <v/>
      </c>
      <c r="M23" s="21" t="str">
        <f aca="false">IFERROR(IF(AND(K23="",L23=""),"",AVERAGE(K23:L23)),"")</f>
        <v/>
      </c>
      <c r="N23" s="41" t="str">
        <f aca="false">IFERROR(IF(OR(M23="",I23="",J23=""),"",M23*J23*0.09008/I23*100),"")</f>
        <v/>
      </c>
    </row>
    <row r="24" customFormat="false" ht="15.75" hidden="false" customHeight="true" outlineLevel="0" collapsed="false">
      <c r="A24" s="32" t="str">
        <f aca="false">IF('09_BATCH GROWTH LOG'!B24="","",'09_BATCH GROWTH LOG'!B24)</f>
        <v/>
      </c>
      <c r="B24" s="32" t="str">
        <f aca="false">IF('09_BATCH GROWTH LOG'!C24="","",'09_BATCH GROWTH LOG'!C24)</f>
        <v/>
      </c>
      <c r="C24" s="32" t="str">
        <f aca="false">IF('09_BATCH GROWTH LOG'!F24="","",'09_BATCH GROWTH LOG'!F24)</f>
        <v/>
      </c>
      <c r="D24" s="32" t="str">
        <f aca="false">IF('09_BATCH GROWTH LOG'!G24="","",'09_BATCH GROWTH LOG'!G24)</f>
        <v/>
      </c>
      <c r="E24" s="32" t="str">
        <f aca="false">IFERROR(IF($A24="","",INDEX('11_ASSAY RESULTS'!$E$5:$E$44,MATCH($A24&amp;"|"&amp;$B24,'11_ASSAY RESULTS'!$P$5:$P$44,0))),"")</f>
        <v/>
      </c>
      <c r="F24" s="21" t="str">
        <f aca="false">IFERROR(IF(OR(E24="",'10_STANDARD CURVES'!$B$15=""),"",(E24-'10_STANDARD CURVES'!$B$16)/'10_STANDARD CURVES'!$B$15*IF(IFERROR(INDEX('11_ASSAY RESULTS'!$F$5:$F$44,MATCH($A24&amp;"|"&amp;$B24,'11_ASSAY RESULTS'!$P$5:$P$44,0)),"")="",1,IFERROR(INDEX('11_ASSAY RESULTS'!$F$5:$F$44,MATCH($A24&amp;"|"&amp;$B24,'11_ASSAY RESULTS'!$P$5:$P$44,0)),""))),"")</f>
        <v/>
      </c>
      <c r="G24" s="32" t="str">
        <f aca="false">IFERROR(IF($A24="","",INDEX('11_ASSAY RESULTS'!$G$5:$G$44,MATCH($A24&amp;"|"&amp;$B24,'11_ASSAY RESULTS'!$P$5:$P$44,0))),"")</f>
        <v/>
      </c>
      <c r="H24" s="21" t="str">
        <f aca="false">IFERROR(IF(OR(G24="",'10_STANDARD CURVES'!$F$15=""),"",(G24-'10_STANDARD CURVES'!$F$16)/'10_STANDARD CURVES'!$F$15*IF(IFERROR(INDEX('11_ASSAY RESULTS'!$H$5:$H$44,MATCH($A24&amp;"|"&amp;$B24,'11_ASSAY RESULTS'!$P$5:$P$44,0)),"")="",1,IFERROR(INDEX('11_ASSAY RESULTS'!$H$5:$H$44,MATCH($A24&amp;"|"&amp;$B24,'11_ASSAY RESULTS'!$P$5:$P$44,0)),""))),"")</f>
        <v/>
      </c>
      <c r="I24" s="32" t="str">
        <f aca="false">IFERROR(IF($A24="","",INDEX('11_ASSAY RESULTS'!$I$5:$I$44,MATCH($A24&amp;"|"&amp;$B24,'11_ASSAY RESULTS'!$P$5:$P$44,0))),"")</f>
        <v/>
      </c>
      <c r="J24" s="32" t="str">
        <f aca="false">IFERROR(IF($A24="","",INDEX('11_ASSAY RESULTS'!$J$5:$J$44,MATCH($A24&amp;"|"&amp;$B24,'11_ASSAY RESULTS'!$P$5:$P$44,0))),"")</f>
        <v/>
      </c>
      <c r="K24" s="32" t="str">
        <f aca="false">IFERROR(IF($A24="","",INDEX('11_ASSAY RESULTS'!$L$5:$L$44,MATCH($A24&amp;"|"&amp;$B24,'11_ASSAY RESULTS'!$P$5:$P$44,0))),"")</f>
        <v/>
      </c>
      <c r="L24" s="32" t="str">
        <f aca="false">IFERROR(IF($A24="","",INDEX('11_ASSAY RESULTS'!$M$5:$M$44,MATCH($A24&amp;"|"&amp;$B24,'11_ASSAY RESULTS'!$P$5:$P$44,0))),"")</f>
        <v/>
      </c>
      <c r="M24" s="21" t="str">
        <f aca="false">IFERROR(IF(AND(K24="",L24=""),"",AVERAGE(K24:L24)),"")</f>
        <v/>
      </c>
      <c r="N24" s="41" t="str">
        <f aca="false">IFERROR(IF(OR(M24="",I24="",J24=""),"",M24*J24*0.09008/I24*100),"")</f>
        <v/>
      </c>
    </row>
    <row r="25" customFormat="false" ht="15.75" hidden="false" customHeight="true" outlineLevel="0" collapsed="false">
      <c r="A25" s="32" t="str">
        <f aca="false">IF('09_BATCH GROWTH LOG'!B25="","",'09_BATCH GROWTH LOG'!B25)</f>
        <v/>
      </c>
      <c r="B25" s="32" t="str">
        <f aca="false">IF('09_BATCH GROWTH LOG'!C25="","",'09_BATCH GROWTH LOG'!C25)</f>
        <v/>
      </c>
      <c r="C25" s="32" t="str">
        <f aca="false">IF('09_BATCH GROWTH LOG'!F25="","",'09_BATCH GROWTH LOG'!F25)</f>
        <v/>
      </c>
      <c r="D25" s="32" t="str">
        <f aca="false">IF('09_BATCH GROWTH LOG'!G25="","",'09_BATCH GROWTH LOG'!G25)</f>
        <v/>
      </c>
      <c r="E25" s="32" t="str">
        <f aca="false">IFERROR(IF($A25="","",INDEX('11_ASSAY RESULTS'!$E$5:$E$44,MATCH($A25&amp;"|"&amp;$B25,'11_ASSAY RESULTS'!$P$5:$P$44,0))),"")</f>
        <v/>
      </c>
      <c r="F25" s="21" t="str">
        <f aca="false">IFERROR(IF(OR(E25="",'10_STANDARD CURVES'!$B$15=""),"",(E25-'10_STANDARD CURVES'!$B$16)/'10_STANDARD CURVES'!$B$15*IF(IFERROR(INDEX('11_ASSAY RESULTS'!$F$5:$F$44,MATCH($A25&amp;"|"&amp;$B25,'11_ASSAY RESULTS'!$P$5:$P$44,0)),"")="",1,IFERROR(INDEX('11_ASSAY RESULTS'!$F$5:$F$44,MATCH($A25&amp;"|"&amp;$B25,'11_ASSAY RESULTS'!$P$5:$P$44,0)),""))),"")</f>
        <v/>
      </c>
      <c r="G25" s="32" t="str">
        <f aca="false">IFERROR(IF($A25="","",INDEX('11_ASSAY RESULTS'!$G$5:$G$44,MATCH($A25&amp;"|"&amp;$B25,'11_ASSAY RESULTS'!$P$5:$P$44,0))),"")</f>
        <v/>
      </c>
      <c r="H25" s="21" t="str">
        <f aca="false">IFERROR(IF(OR(G25="",'10_STANDARD CURVES'!$F$15=""),"",(G25-'10_STANDARD CURVES'!$F$16)/'10_STANDARD CURVES'!$F$15*IF(IFERROR(INDEX('11_ASSAY RESULTS'!$H$5:$H$44,MATCH($A25&amp;"|"&amp;$B25,'11_ASSAY RESULTS'!$P$5:$P$44,0)),"")="",1,IFERROR(INDEX('11_ASSAY RESULTS'!$H$5:$H$44,MATCH($A25&amp;"|"&amp;$B25,'11_ASSAY RESULTS'!$P$5:$P$44,0)),""))),"")</f>
        <v/>
      </c>
      <c r="I25" s="32" t="str">
        <f aca="false">IFERROR(IF($A25="","",INDEX('11_ASSAY RESULTS'!$I$5:$I$44,MATCH($A25&amp;"|"&amp;$B25,'11_ASSAY RESULTS'!$P$5:$P$44,0))),"")</f>
        <v/>
      </c>
      <c r="J25" s="32" t="str">
        <f aca="false">IFERROR(IF($A25="","",INDEX('11_ASSAY RESULTS'!$J$5:$J$44,MATCH($A25&amp;"|"&amp;$B25,'11_ASSAY RESULTS'!$P$5:$P$44,0))),"")</f>
        <v/>
      </c>
      <c r="K25" s="32" t="str">
        <f aca="false">IFERROR(IF($A25="","",INDEX('11_ASSAY RESULTS'!$L$5:$L$44,MATCH($A25&amp;"|"&amp;$B25,'11_ASSAY RESULTS'!$P$5:$P$44,0))),"")</f>
        <v/>
      </c>
      <c r="L25" s="32" t="str">
        <f aca="false">IFERROR(IF($A25="","",INDEX('11_ASSAY RESULTS'!$M$5:$M$44,MATCH($A25&amp;"|"&amp;$B25,'11_ASSAY RESULTS'!$P$5:$P$44,0))),"")</f>
        <v/>
      </c>
      <c r="M25" s="21" t="str">
        <f aca="false">IFERROR(IF(AND(K25="",L25=""),"",AVERAGE(K25:L25)),"")</f>
        <v/>
      </c>
      <c r="N25" s="41" t="str">
        <f aca="false">IFERROR(IF(OR(M25="",I25="",J25=""),"",M25*J25*0.09008/I25*100),"")</f>
        <v/>
      </c>
    </row>
    <row r="26" customFormat="false" ht="15.75" hidden="false" customHeight="true" outlineLevel="0" collapsed="false">
      <c r="A26" s="32" t="str">
        <f aca="false">IF('09_BATCH GROWTH LOG'!B26="","",'09_BATCH GROWTH LOG'!B26)</f>
        <v/>
      </c>
      <c r="B26" s="32" t="str">
        <f aca="false">IF('09_BATCH GROWTH LOG'!C26="","",'09_BATCH GROWTH LOG'!C26)</f>
        <v/>
      </c>
      <c r="C26" s="32" t="str">
        <f aca="false">IF('09_BATCH GROWTH LOG'!F26="","",'09_BATCH GROWTH LOG'!F26)</f>
        <v/>
      </c>
      <c r="D26" s="32" t="str">
        <f aca="false">IF('09_BATCH GROWTH LOG'!G26="","",'09_BATCH GROWTH LOG'!G26)</f>
        <v/>
      </c>
      <c r="E26" s="32" t="str">
        <f aca="false">IFERROR(IF($A26="","",INDEX('11_ASSAY RESULTS'!$E$5:$E$44,MATCH($A26&amp;"|"&amp;$B26,'11_ASSAY RESULTS'!$P$5:$P$44,0))),"")</f>
        <v/>
      </c>
      <c r="F26" s="21" t="str">
        <f aca="false">IFERROR(IF(OR(E26="",'10_STANDARD CURVES'!$B$15=""),"",(E26-'10_STANDARD CURVES'!$B$16)/'10_STANDARD CURVES'!$B$15*IF(IFERROR(INDEX('11_ASSAY RESULTS'!$F$5:$F$44,MATCH($A26&amp;"|"&amp;$B26,'11_ASSAY RESULTS'!$P$5:$P$44,0)),"")="",1,IFERROR(INDEX('11_ASSAY RESULTS'!$F$5:$F$44,MATCH($A26&amp;"|"&amp;$B26,'11_ASSAY RESULTS'!$P$5:$P$44,0)),""))),"")</f>
        <v/>
      </c>
      <c r="G26" s="32" t="str">
        <f aca="false">IFERROR(IF($A26="","",INDEX('11_ASSAY RESULTS'!$G$5:$G$44,MATCH($A26&amp;"|"&amp;$B26,'11_ASSAY RESULTS'!$P$5:$P$44,0))),"")</f>
        <v/>
      </c>
      <c r="H26" s="21" t="str">
        <f aca="false">IFERROR(IF(OR(G26="",'10_STANDARD CURVES'!$F$15=""),"",(G26-'10_STANDARD CURVES'!$F$16)/'10_STANDARD CURVES'!$F$15*IF(IFERROR(INDEX('11_ASSAY RESULTS'!$H$5:$H$44,MATCH($A26&amp;"|"&amp;$B26,'11_ASSAY RESULTS'!$P$5:$P$44,0)),"")="",1,IFERROR(INDEX('11_ASSAY RESULTS'!$H$5:$H$44,MATCH($A26&amp;"|"&amp;$B26,'11_ASSAY RESULTS'!$P$5:$P$44,0)),""))),"")</f>
        <v/>
      </c>
      <c r="I26" s="32" t="str">
        <f aca="false">IFERROR(IF($A26="","",INDEX('11_ASSAY RESULTS'!$I$5:$I$44,MATCH($A26&amp;"|"&amp;$B26,'11_ASSAY RESULTS'!$P$5:$P$44,0))),"")</f>
        <v/>
      </c>
      <c r="J26" s="32" t="str">
        <f aca="false">IFERROR(IF($A26="","",INDEX('11_ASSAY RESULTS'!$J$5:$J$44,MATCH($A26&amp;"|"&amp;$B26,'11_ASSAY RESULTS'!$P$5:$P$44,0))),"")</f>
        <v/>
      </c>
      <c r="K26" s="32" t="str">
        <f aca="false">IFERROR(IF($A26="","",INDEX('11_ASSAY RESULTS'!$L$5:$L$44,MATCH($A26&amp;"|"&amp;$B26,'11_ASSAY RESULTS'!$P$5:$P$44,0))),"")</f>
        <v/>
      </c>
      <c r="L26" s="32" t="str">
        <f aca="false">IFERROR(IF($A26="","",INDEX('11_ASSAY RESULTS'!$M$5:$M$44,MATCH($A26&amp;"|"&amp;$B26,'11_ASSAY RESULTS'!$P$5:$P$44,0))),"")</f>
        <v/>
      </c>
      <c r="M26" s="21" t="str">
        <f aca="false">IFERROR(IF(AND(K26="",L26=""),"",AVERAGE(K26:L26)),"")</f>
        <v/>
      </c>
      <c r="N26" s="41" t="str">
        <f aca="false">IFERROR(IF(OR(M26="",I26="",J26=""),"",M26*J26*0.09008/I26*100),"")</f>
        <v/>
      </c>
    </row>
    <row r="27" customFormat="false" ht="15.75" hidden="false" customHeight="true" outlineLevel="0" collapsed="false">
      <c r="A27" s="32" t="str">
        <f aca="false">IF('09_BATCH GROWTH LOG'!B27="","",'09_BATCH GROWTH LOG'!B27)</f>
        <v/>
      </c>
      <c r="B27" s="32" t="str">
        <f aca="false">IF('09_BATCH GROWTH LOG'!C27="","",'09_BATCH GROWTH LOG'!C27)</f>
        <v/>
      </c>
      <c r="C27" s="32" t="str">
        <f aca="false">IF('09_BATCH GROWTH LOG'!F27="","",'09_BATCH GROWTH LOG'!F27)</f>
        <v/>
      </c>
      <c r="D27" s="32" t="str">
        <f aca="false">IF('09_BATCH GROWTH LOG'!G27="","",'09_BATCH GROWTH LOG'!G27)</f>
        <v/>
      </c>
      <c r="E27" s="32" t="str">
        <f aca="false">IFERROR(IF($A27="","",INDEX('11_ASSAY RESULTS'!$E$5:$E$44,MATCH($A27&amp;"|"&amp;$B27,'11_ASSAY RESULTS'!$P$5:$P$44,0))),"")</f>
        <v/>
      </c>
      <c r="F27" s="21" t="str">
        <f aca="false">IFERROR(IF(OR(E27="",'10_STANDARD CURVES'!$B$15=""),"",(E27-'10_STANDARD CURVES'!$B$16)/'10_STANDARD CURVES'!$B$15*IF(IFERROR(INDEX('11_ASSAY RESULTS'!$F$5:$F$44,MATCH($A27&amp;"|"&amp;$B27,'11_ASSAY RESULTS'!$P$5:$P$44,0)),"")="",1,IFERROR(INDEX('11_ASSAY RESULTS'!$F$5:$F$44,MATCH($A27&amp;"|"&amp;$B27,'11_ASSAY RESULTS'!$P$5:$P$44,0)),""))),"")</f>
        <v/>
      </c>
      <c r="G27" s="32" t="str">
        <f aca="false">IFERROR(IF($A27="","",INDEX('11_ASSAY RESULTS'!$G$5:$G$44,MATCH($A27&amp;"|"&amp;$B27,'11_ASSAY RESULTS'!$P$5:$P$44,0))),"")</f>
        <v/>
      </c>
      <c r="H27" s="21" t="str">
        <f aca="false">IFERROR(IF(OR(G27="",'10_STANDARD CURVES'!$F$15=""),"",(G27-'10_STANDARD CURVES'!$F$16)/'10_STANDARD CURVES'!$F$15*IF(IFERROR(INDEX('11_ASSAY RESULTS'!$H$5:$H$44,MATCH($A27&amp;"|"&amp;$B27,'11_ASSAY RESULTS'!$P$5:$P$44,0)),"")="",1,IFERROR(INDEX('11_ASSAY RESULTS'!$H$5:$H$44,MATCH($A27&amp;"|"&amp;$B27,'11_ASSAY RESULTS'!$P$5:$P$44,0)),""))),"")</f>
        <v/>
      </c>
      <c r="I27" s="32" t="str">
        <f aca="false">IFERROR(IF($A27="","",INDEX('11_ASSAY RESULTS'!$I$5:$I$44,MATCH($A27&amp;"|"&amp;$B27,'11_ASSAY RESULTS'!$P$5:$P$44,0))),"")</f>
        <v/>
      </c>
      <c r="J27" s="32" t="str">
        <f aca="false">IFERROR(IF($A27="","",INDEX('11_ASSAY RESULTS'!$J$5:$J$44,MATCH($A27&amp;"|"&amp;$B27,'11_ASSAY RESULTS'!$P$5:$P$44,0))),"")</f>
        <v/>
      </c>
      <c r="K27" s="32" t="str">
        <f aca="false">IFERROR(IF($A27="","",INDEX('11_ASSAY RESULTS'!$L$5:$L$44,MATCH($A27&amp;"|"&amp;$B27,'11_ASSAY RESULTS'!$P$5:$P$44,0))),"")</f>
        <v/>
      </c>
      <c r="L27" s="32" t="str">
        <f aca="false">IFERROR(IF($A27="","",INDEX('11_ASSAY RESULTS'!$M$5:$M$44,MATCH($A27&amp;"|"&amp;$B27,'11_ASSAY RESULTS'!$P$5:$P$44,0))),"")</f>
        <v/>
      </c>
      <c r="M27" s="21" t="str">
        <f aca="false">IFERROR(IF(AND(K27="",L27=""),"",AVERAGE(K27:L27)),"")</f>
        <v/>
      </c>
      <c r="N27" s="41" t="str">
        <f aca="false">IFERROR(IF(OR(M27="",I27="",J27=""),"",M27*J27*0.09008/I27*100),"")</f>
        <v/>
      </c>
    </row>
    <row r="28" customFormat="false" ht="15.75" hidden="false" customHeight="true" outlineLevel="0" collapsed="false">
      <c r="A28" s="32" t="str">
        <f aca="false">IF('09_BATCH GROWTH LOG'!B28="","",'09_BATCH GROWTH LOG'!B28)</f>
        <v/>
      </c>
      <c r="B28" s="32" t="str">
        <f aca="false">IF('09_BATCH GROWTH LOG'!C28="","",'09_BATCH GROWTH LOG'!C28)</f>
        <v/>
      </c>
      <c r="C28" s="32" t="str">
        <f aca="false">IF('09_BATCH GROWTH LOG'!F28="","",'09_BATCH GROWTH LOG'!F28)</f>
        <v/>
      </c>
      <c r="D28" s="32" t="str">
        <f aca="false">IF('09_BATCH GROWTH LOG'!G28="","",'09_BATCH GROWTH LOG'!G28)</f>
        <v/>
      </c>
      <c r="E28" s="32" t="str">
        <f aca="false">IFERROR(IF($A28="","",INDEX('11_ASSAY RESULTS'!$E$5:$E$44,MATCH($A28&amp;"|"&amp;$B28,'11_ASSAY RESULTS'!$P$5:$P$44,0))),"")</f>
        <v/>
      </c>
      <c r="F28" s="21" t="str">
        <f aca="false">IFERROR(IF(OR(E28="",'10_STANDARD CURVES'!$B$15=""),"",(E28-'10_STANDARD CURVES'!$B$16)/'10_STANDARD CURVES'!$B$15*IF(IFERROR(INDEX('11_ASSAY RESULTS'!$F$5:$F$44,MATCH($A28&amp;"|"&amp;$B28,'11_ASSAY RESULTS'!$P$5:$P$44,0)),"")="",1,IFERROR(INDEX('11_ASSAY RESULTS'!$F$5:$F$44,MATCH($A28&amp;"|"&amp;$B28,'11_ASSAY RESULTS'!$P$5:$P$44,0)),""))),"")</f>
        <v/>
      </c>
      <c r="G28" s="32" t="str">
        <f aca="false">IFERROR(IF($A28="","",INDEX('11_ASSAY RESULTS'!$G$5:$G$44,MATCH($A28&amp;"|"&amp;$B28,'11_ASSAY RESULTS'!$P$5:$P$44,0))),"")</f>
        <v/>
      </c>
      <c r="H28" s="21" t="str">
        <f aca="false">IFERROR(IF(OR(G28="",'10_STANDARD CURVES'!$F$15=""),"",(G28-'10_STANDARD CURVES'!$F$16)/'10_STANDARD CURVES'!$F$15*IF(IFERROR(INDEX('11_ASSAY RESULTS'!$H$5:$H$44,MATCH($A28&amp;"|"&amp;$B28,'11_ASSAY RESULTS'!$P$5:$P$44,0)),"")="",1,IFERROR(INDEX('11_ASSAY RESULTS'!$H$5:$H$44,MATCH($A28&amp;"|"&amp;$B28,'11_ASSAY RESULTS'!$P$5:$P$44,0)),""))),"")</f>
        <v/>
      </c>
      <c r="I28" s="32" t="str">
        <f aca="false">IFERROR(IF($A28="","",INDEX('11_ASSAY RESULTS'!$I$5:$I$44,MATCH($A28&amp;"|"&amp;$B28,'11_ASSAY RESULTS'!$P$5:$P$44,0))),"")</f>
        <v/>
      </c>
      <c r="J28" s="32" t="str">
        <f aca="false">IFERROR(IF($A28="","",INDEX('11_ASSAY RESULTS'!$J$5:$J$44,MATCH($A28&amp;"|"&amp;$B28,'11_ASSAY RESULTS'!$P$5:$P$44,0))),"")</f>
        <v/>
      </c>
      <c r="K28" s="32" t="str">
        <f aca="false">IFERROR(IF($A28="","",INDEX('11_ASSAY RESULTS'!$L$5:$L$44,MATCH($A28&amp;"|"&amp;$B28,'11_ASSAY RESULTS'!$P$5:$P$44,0))),"")</f>
        <v/>
      </c>
      <c r="L28" s="32" t="str">
        <f aca="false">IFERROR(IF($A28="","",INDEX('11_ASSAY RESULTS'!$M$5:$M$44,MATCH($A28&amp;"|"&amp;$B28,'11_ASSAY RESULTS'!$P$5:$P$44,0))),"")</f>
        <v/>
      </c>
      <c r="M28" s="21" t="str">
        <f aca="false">IFERROR(IF(AND(K28="",L28=""),"",AVERAGE(K28:L28)),"")</f>
        <v/>
      </c>
      <c r="N28" s="41" t="str">
        <f aca="false">IFERROR(IF(OR(M28="",I28="",J28=""),"",M28*J28*0.09008/I28*100),"")</f>
        <v/>
      </c>
    </row>
    <row r="29" customFormat="false" ht="15.75" hidden="false" customHeight="true" outlineLevel="0" collapsed="false">
      <c r="A29" s="32" t="str">
        <f aca="false">IF('09_BATCH GROWTH LOG'!B29="","",'09_BATCH GROWTH LOG'!B29)</f>
        <v/>
      </c>
      <c r="B29" s="32" t="str">
        <f aca="false">IF('09_BATCH GROWTH LOG'!C29="","",'09_BATCH GROWTH LOG'!C29)</f>
        <v/>
      </c>
      <c r="C29" s="32" t="str">
        <f aca="false">IF('09_BATCH GROWTH LOG'!F29="","",'09_BATCH GROWTH LOG'!F29)</f>
        <v/>
      </c>
      <c r="D29" s="32" t="str">
        <f aca="false">IF('09_BATCH GROWTH LOG'!G29="","",'09_BATCH GROWTH LOG'!G29)</f>
        <v/>
      </c>
      <c r="E29" s="32" t="str">
        <f aca="false">IFERROR(IF($A29="","",INDEX('11_ASSAY RESULTS'!$E$5:$E$44,MATCH($A29&amp;"|"&amp;$B29,'11_ASSAY RESULTS'!$P$5:$P$44,0))),"")</f>
        <v/>
      </c>
      <c r="F29" s="21" t="str">
        <f aca="false">IFERROR(IF(OR(E29="",'10_STANDARD CURVES'!$B$15=""),"",(E29-'10_STANDARD CURVES'!$B$16)/'10_STANDARD CURVES'!$B$15*IF(IFERROR(INDEX('11_ASSAY RESULTS'!$F$5:$F$44,MATCH($A29&amp;"|"&amp;$B29,'11_ASSAY RESULTS'!$P$5:$P$44,0)),"")="",1,IFERROR(INDEX('11_ASSAY RESULTS'!$F$5:$F$44,MATCH($A29&amp;"|"&amp;$B29,'11_ASSAY RESULTS'!$P$5:$P$44,0)),""))),"")</f>
        <v/>
      </c>
      <c r="G29" s="32" t="str">
        <f aca="false">IFERROR(IF($A29="","",INDEX('11_ASSAY RESULTS'!$G$5:$G$44,MATCH($A29&amp;"|"&amp;$B29,'11_ASSAY RESULTS'!$P$5:$P$44,0))),"")</f>
        <v/>
      </c>
      <c r="H29" s="21" t="str">
        <f aca="false">IFERROR(IF(OR(G29="",'10_STANDARD CURVES'!$F$15=""),"",(G29-'10_STANDARD CURVES'!$F$16)/'10_STANDARD CURVES'!$F$15*IF(IFERROR(INDEX('11_ASSAY RESULTS'!$H$5:$H$44,MATCH($A29&amp;"|"&amp;$B29,'11_ASSAY RESULTS'!$P$5:$P$44,0)),"")="",1,IFERROR(INDEX('11_ASSAY RESULTS'!$H$5:$H$44,MATCH($A29&amp;"|"&amp;$B29,'11_ASSAY RESULTS'!$P$5:$P$44,0)),""))),"")</f>
        <v/>
      </c>
      <c r="I29" s="32" t="str">
        <f aca="false">IFERROR(IF($A29="","",INDEX('11_ASSAY RESULTS'!$I$5:$I$44,MATCH($A29&amp;"|"&amp;$B29,'11_ASSAY RESULTS'!$P$5:$P$44,0))),"")</f>
        <v/>
      </c>
      <c r="J29" s="32" t="str">
        <f aca="false">IFERROR(IF($A29="","",INDEX('11_ASSAY RESULTS'!$J$5:$J$44,MATCH($A29&amp;"|"&amp;$B29,'11_ASSAY RESULTS'!$P$5:$P$44,0))),"")</f>
        <v/>
      </c>
      <c r="K29" s="32" t="str">
        <f aca="false">IFERROR(IF($A29="","",INDEX('11_ASSAY RESULTS'!$L$5:$L$44,MATCH($A29&amp;"|"&amp;$B29,'11_ASSAY RESULTS'!$P$5:$P$44,0))),"")</f>
        <v/>
      </c>
      <c r="L29" s="32" t="str">
        <f aca="false">IFERROR(IF($A29="","",INDEX('11_ASSAY RESULTS'!$M$5:$M$44,MATCH($A29&amp;"|"&amp;$B29,'11_ASSAY RESULTS'!$P$5:$P$44,0))),"")</f>
        <v/>
      </c>
      <c r="M29" s="21" t="str">
        <f aca="false">IFERROR(IF(AND(K29="",L29=""),"",AVERAGE(K29:L29)),"")</f>
        <v/>
      </c>
      <c r="N29" s="41" t="str">
        <f aca="false">IFERROR(IF(OR(M29="",I29="",J29=""),"",M29*J29*0.09008/I29*100),"")</f>
        <v/>
      </c>
    </row>
    <row r="30" customFormat="false" ht="15.75" hidden="false" customHeight="true" outlineLevel="0" collapsed="false">
      <c r="A30" s="32" t="str">
        <f aca="false">IF('09_BATCH GROWTH LOG'!B30="","",'09_BATCH GROWTH LOG'!B30)</f>
        <v/>
      </c>
      <c r="B30" s="32" t="str">
        <f aca="false">IF('09_BATCH GROWTH LOG'!C30="","",'09_BATCH GROWTH LOG'!C30)</f>
        <v/>
      </c>
      <c r="C30" s="32" t="str">
        <f aca="false">IF('09_BATCH GROWTH LOG'!F30="","",'09_BATCH GROWTH LOG'!F30)</f>
        <v/>
      </c>
      <c r="D30" s="32" t="str">
        <f aca="false">IF('09_BATCH GROWTH LOG'!G30="","",'09_BATCH GROWTH LOG'!G30)</f>
        <v/>
      </c>
      <c r="E30" s="32" t="str">
        <f aca="false">IFERROR(IF($A30="","",INDEX('11_ASSAY RESULTS'!$E$5:$E$44,MATCH($A30&amp;"|"&amp;$B30,'11_ASSAY RESULTS'!$P$5:$P$44,0))),"")</f>
        <v/>
      </c>
      <c r="F30" s="21" t="str">
        <f aca="false">IFERROR(IF(OR(E30="",'10_STANDARD CURVES'!$B$15=""),"",(E30-'10_STANDARD CURVES'!$B$16)/'10_STANDARD CURVES'!$B$15*IF(IFERROR(INDEX('11_ASSAY RESULTS'!$F$5:$F$44,MATCH($A30&amp;"|"&amp;$B30,'11_ASSAY RESULTS'!$P$5:$P$44,0)),"")="",1,IFERROR(INDEX('11_ASSAY RESULTS'!$F$5:$F$44,MATCH($A30&amp;"|"&amp;$B30,'11_ASSAY RESULTS'!$P$5:$P$44,0)),""))),"")</f>
        <v/>
      </c>
      <c r="G30" s="32" t="str">
        <f aca="false">IFERROR(IF($A30="","",INDEX('11_ASSAY RESULTS'!$G$5:$G$44,MATCH($A30&amp;"|"&amp;$B30,'11_ASSAY RESULTS'!$P$5:$P$44,0))),"")</f>
        <v/>
      </c>
      <c r="H30" s="21" t="str">
        <f aca="false">IFERROR(IF(OR(G30="",'10_STANDARD CURVES'!$F$15=""),"",(G30-'10_STANDARD CURVES'!$F$16)/'10_STANDARD CURVES'!$F$15*IF(IFERROR(INDEX('11_ASSAY RESULTS'!$H$5:$H$44,MATCH($A30&amp;"|"&amp;$B30,'11_ASSAY RESULTS'!$P$5:$P$44,0)),"")="",1,IFERROR(INDEX('11_ASSAY RESULTS'!$H$5:$H$44,MATCH($A30&amp;"|"&amp;$B30,'11_ASSAY RESULTS'!$P$5:$P$44,0)),""))),"")</f>
        <v/>
      </c>
      <c r="I30" s="32" t="str">
        <f aca="false">IFERROR(IF($A30="","",INDEX('11_ASSAY RESULTS'!$I$5:$I$44,MATCH($A30&amp;"|"&amp;$B30,'11_ASSAY RESULTS'!$P$5:$P$44,0))),"")</f>
        <v/>
      </c>
      <c r="J30" s="32" t="str">
        <f aca="false">IFERROR(IF($A30="","",INDEX('11_ASSAY RESULTS'!$J$5:$J$44,MATCH($A30&amp;"|"&amp;$B30,'11_ASSAY RESULTS'!$P$5:$P$44,0))),"")</f>
        <v/>
      </c>
      <c r="K30" s="32" t="str">
        <f aca="false">IFERROR(IF($A30="","",INDEX('11_ASSAY RESULTS'!$L$5:$L$44,MATCH($A30&amp;"|"&amp;$B30,'11_ASSAY RESULTS'!$P$5:$P$44,0))),"")</f>
        <v/>
      </c>
      <c r="L30" s="32" t="str">
        <f aca="false">IFERROR(IF($A30="","",INDEX('11_ASSAY RESULTS'!$M$5:$M$44,MATCH($A30&amp;"|"&amp;$B30,'11_ASSAY RESULTS'!$P$5:$P$44,0))),"")</f>
        <v/>
      </c>
      <c r="M30" s="21" t="str">
        <f aca="false">IFERROR(IF(AND(K30="",L30=""),"",AVERAGE(K30:L30)),"")</f>
        <v/>
      </c>
      <c r="N30" s="41" t="str">
        <f aca="false">IFERROR(IF(OR(M30="",I30="",J30=""),"",M30*J30*0.09008/I30*100),"")</f>
        <v/>
      </c>
    </row>
    <row r="31" customFormat="false" ht="15.75" hidden="false" customHeight="true" outlineLevel="0" collapsed="false">
      <c r="A31" s="32" t="str">
        <f aca="false">IF('09_BATCH GROWTH LOG'!B31="","",'09_BATCH GROWTH LOG'!B31)</f>
        <v/>
      </c>
      <c r="B31" s="32" t="str">
        <f aca="false">IF('09_BATCH GROWTH LOG'!C31="","",'09_BATCH GROWTH LOG'!C31)</f>
        <v/>
      </c>
      <c r="C31" s="32" t="str">
        <f aca="false">IF('09_BATCH GROWTH LOG'!F31="","",'09_BATCH GROWTH LOG'!F31)</f>
        <v/>
      </c>
      <c r="D31" s="32" t="str">
        <f aca="false">IF('09_BATCH GROWTH LOG'!G31="","",'09_BATCH GROWTH LOG'!G31)</f>
        <v/>
      </c>
      <c r="E31" s="32" t="str">
        <f aca="false">IFERROR(IF($A31="","",INDEX('11_ASSAY RESULTS'!$E$5:$E$44,MATCH($A31&amp;"|"&amp;$B31,'11_ASSAY RESULTS'!$P$5:$P$44,0))),"")</f>
        <v/>
      </c>
      <c r="F31" s="21" t="str">
        <f aca="false">IFERROR(IF(OR(E31="",'10_STANDARD CURVES'!$B$15=""),"",(E31-'10_STANDARD CURVES'!$B$16)/'10_STANDARD CURVES'!$B$15*IF(IFERROR(INDEX('11_ASSAY RESULTS'!$F$5:$F$44,MATCH($A31&amp;"|"&amp;$B31,'11_ASSAY RESULTS'!$P$5:$P$44,0)),"")="",1,IFERROR(INDEX('11_ASSAY RESULTS'!$F$5:$F$44,MATCH($A31&amp;"|"&amp;$B31,'11_ASSAY RESULTS'!$P$5:$P$44,0)),""))),"")</f>
        <v/>
      </c>
      <c r="G31" s="32" t="str">
        <f aca="false">IFERROR(IF($A31="","",INDEX('11_ASSAY RESULTS'!$G$5:$G$44,MATCH($A31&amp;"|"&amp;$B31,'11_ASSAY RESULTS'!$P$5:$P$44,0))),"")</f>
        <v/>
      </c>
      <c r="H31" s="21" t="str">
        <f aca="false">IFERROR(IF(OR(G31="",'10_STANDARD CURVES'!$F$15=""),"",(G31-'10_STANDARD CURVES'!$F$16)/'10_STANDARD CURVES'!$F$15*IF(IFERROR(INDEX('11_ASSAY RESULTS'!$H$5:$H$44,MATCH($A31&amp;"|"&amp;$B31,'11_ASSAY RESULTS'!$P$5:$P$44,0)),"")="",1,IFERROR(INDEX('11_ASSAY RESULTS'!$H$5:$H$44,MATCH($A31&amp;"|"&amp;$B31,'11_ASSAY RESULTS'!$P$5:$P$44,0)),""))),"")</f>
        <v/>
      </c>
      <c r="I31" s="32" t="str">
        <f aca="false">IFERROR(IF($A31="","",INDEX('11_ASSAY RESULTS'!$I$5:$I$44,MATCH($A31&amp;"|"&amp;$B31,'11_ASSAY RESULTS'!$P$5:$P$44,0))),"")</f>
        <v/>
      </c>
      <c r="J31" s="32" t="str">
        <f aca="false">IFERROR(IF($A31="","",INDEX('11_ASSAY RESULTS'!$J$5:$J$44,MATCH($A31&amp;"|"&amp;$B31,'11_ASSAY RESULTS'!$P$5:$P$44,0))),"")</f>
        <v/>
      </c>
      <c r="K31" s="32" t="str">
        <f aca="false">IFERROR(IF($A31="","",INDEX('11_ASSAY RESULTS'!$L$5:$L$44,MATCH($A31&amp;"|"&amp;$B31,'11_ASSAY RESULTS'!$P$5:$P$44,0))),"")</f>
        <v/>
      </c>
      <c r="L31" s="32" t="str">
        <f aca="false">IFERROR(IF($A31="","",INDEX('11_ASSAY RESULTS'!$M$5:$M$44,MATCH($A31&amp;"|"&amp;$B31,'11_ASSAY RESULTS'!$P$5:$P$44,0))),"")</f>
        <v/>
      </c>
      <c r="M31" s="21" t="str">
        <f aca="false">IFERROR(IF(AND(K31="",L31=""),"",AVERAGE(K31:L31)),"")</f>
        <v/>
      </c>
      <c r="N31" s="41" t="str">
        <f aca="false">IFERROR(IF(OR(M31="",I31="",J31=""),"",M31*J31*0.09008/I31*100),"")</f>
        <v/>
      </c>
    </row>
    <row r="32" customFormat="false" ht="15.75" hidden="false" customHeight="true" outlineLevel="0" collapsed="false">
      <c r="A32" s="32" t="str">
        <f aca="false">IF('09_BATCH GROWTH LOG'!B32="","",'09_BATCH GROWTH LOG'!B32)</f>
        <v/>
      </c>
      <c r="B32" s="32" t="str">
        <f aca="false">IF('09_BATCH GROWTH LOG'!C32="","",'09_BATCH GROWTH LOG'!C32)</f>
        <v/>
      </c>
      <c r="C32" s="32" t="str">
        <f aca="false">IF('09_BATCH GROWTH LOG'!F32="","",'09_BATCH GROWTH LOG'!F32)</f>
        <v/>
      </c>
      <c r="D32" s="32" t="str">
        <f aca="false">IF('09_BATCH GROWTH LOG'!G32="","",'09_BATCH GROWTH LOG'!G32)</f>
        <v/>
      </c>
      <c r="E32" s="32" t="str">
        <f aca="false">IFERROR(IF($A32="","",INDEX('11_ASSAY RESULTS'!$E$5:$E$44,MATCH($A32&amp;"|"&amp;$B32,'11_ASSAY RESULTS'!$P$5:$P$44,0))),"")</f>
        <v/>
      </c>
      <c r="F32" s="21" t="str">
        <f aca="false">IFERROR(IF(OR(E32="",'10_STANDARD CURVES'!$B$15=""),"",(E32-'10_STANDARD CURVES'!$B$16)/'10_STANDARD CURVES'!$B$15*IF(IFERROR(INDEX('11_ASSAY RESULTS'!$F$5:$F$44,MATCH($A32&amp;"|"&amp;$B32,'11_ASSAY RESULTS'!$P$5:$P$44,0)),"")="",1,IFERROR(INDEX('11_ASSAY RESULTS'!$F$5:$F$44,MATCH($A32&amp;"|"&amp;$B32,'11_ASSAY RESULTS'!$P$5:$P$44,0)),""))),"")</f>
        <v/>
      </c>
      <c r="G32" s="32" t="str">
        <f aca="false">IFERROR(IF($A32="","",INDEX('11_ASSAY RESULTS'!$G$5:$G$44,MATCH($A32&amp;"|"&amp;$B32,'11_ASSAY RESULTS'!$P$5:$P$44,0))),"")</f>
        <v/>
      </c>
      <c r="H32" s="21" t="str">
        <f aca="false">IFERROR(IF(OR(G32="",'10_STANDARD CURVES'!$F$15=""),"",(G32-'10_STANDARD CURVES'!$F$16)/'10_STANDARD CURVES'!$F$15*IF(IFERROR(INDEX('11_ASSAY RESULTS'!$H$5:$H$44,MATCH($A32&amp;"|"&amp;$B32,'11_ASSAY RESULTS'!$P$5:$P$44,0)),"")="",1,IFERROR(INDEX('11_ASSAY RESULTS'!$H$5:$H$44,MATCH($A32&amp;"|"&amp;$B32,'11_ASSAY RESULTS'!$P$5:$P$44,0)),""))),"")</f>
        <v/>
      </c>
      <c r="I32" s="32" t="str">
        <f aca="false">IFERROR(IF($A32="","",INDEX('11_ASSAY RESULTS'!$I$5:$I$44,MATCH($A32&amp;"|"&amp;$B32,'11_ASSAY RESULTS'!$P$5:$P$44,0))),"")</f>
        <v/>
      </c>
      <c r="J32" s="32" t="str">
        <f aca="false">IFERROR(IF($A32="","",INDEX('11_ASSAY RESULTS'!$J$5:$J$44,MATCH($A32&amp;"|"&amp;$B32,'11_ASSAY RESULTS'!$P$5:$P$44,0))),"")</f>
        <v/>
      </c>
      <c r="K32" s="32" t="str">
        <f aca="false">IFERROR(IF($A32="","",INDEX('11_ASSAY RESULTS'!$L$5:$L$44,MATCH($A32&amp;"|"&amp;$B32,'11_ASSAY RESULTS'!$P$5:$P$44,0))),"")</f>
        <v/>
      </c>
      <c r="L32" s="32" t="str">
        <f aca="false">IFERROR(IF($A32="","",INDEX('11_ASSAY RESULTS'!$M$5:$M$44,MATCH($A32&amp;"|"&amp;$B32,'11_ASSAY RESULTS'!$P$5:$P$44,0))),"")</f>
        <v/>
      </c>
      <c r="M32" s="21" t="str">
        <f aca="false">IFERROR(IF(AND(K32="",L32=""),"",AVERAGE(K32:L32)),"")</f>
        <v/>
      </c>
      <c r="N32" s="41" t="str">
        <f aca="false">IFERROR(IF(OR(M32="",I32="",J32=""),"",M32*J32*0.09008/I32*100),"")</f>
        <v/>
      </c>
    </row>
    <row r="33" customFormat="false" ht="15.75" hidden="false" customHeight="true" outlineLevel="0" collapsed="false">
      <c r="A33" s="32" t="str">
        <f aca="false">IF('09_BATCH GROWTH LOG'!B33="","",'09_BATCH GROWTH LOG'!B33)</f>
        <v/>
      </c>
      <c r="B33" s="32" t="str">
        <f aca="false">IF('09_BATCH GROWTH LOG'!C33="","",'09_BATCH GROWTH LOG'!C33)</f>
        <v/>
      </c>
      <c r="C33" s="32" t="str">
        <f aca="false">IF('09_BATCH GROWTH LOG'!F33="","",'09_BATCH GROWTH LOG'!F33)</f>
        <v/>
      </c>
      <c r="D33" s="32" t="str">
        <f aca="false">IF('09_BATCH GROWTH LOG'!G33="","",'09_BATCH GROWTH LOG'!G33)</f>
        <v/>
      </c>
      <c r="E33" s="32" t="str">
        <f aca="false">IFERROR(IF($A33="","",INDEX('11_ASSAY RESULTS'!$E$5:$E$44,MATCH($A33&amp;"|"&amp;$B33,'11_ASSAY RESULTS'!$P$5:$P$44,0))),"")</f>
        <v/>
      </c>
      <c r="F33" s="21" t="str">
        <f aca="false">IFERROR(IF(OR(E33="",'10_STANDARD CURVES'!$B$15=""),"",(E33-'10_STANDARD CURVES'!$B$16)/'10_STANDARD CURVES'!$B$15*IF(IFERROR(INDEX('11_ASSAY RESULTS'!$F$5:$F$44,MATCH($A33&amp;"|"&amp;$B33,'11_ASSAY RESULTS'!$P$5:$P$44,0)),"")="",1,IFERROR(INDEX('11_ASSAY RESULTS'!$F$5:$F$44,MATCH($A33&amp;"|"&amp;$B33,'11_ASSAY RESULTS'!$P$5:$P$44,0)),""))),"")</f>
        <v/>
      </c>
      <c r="G33" s="32" t="str">
        <f aca="false">IFERROR(IF($A33="","",INDEX('11_ASSAY RESULTS'!$G$5:$G$44,MATCH($A33&amp;"|"&amp;$B33,'11_ASSAY RESULTS'!$P$5:$P$44,0))),"")</f>
        <v/>
      </c>
      <c r="H33" s="21" t="str">
        <f aca="false">IFERROR(IF(OR(G33="",'10_STANDARD CURVES'!$F$15=""),"",(G33-'10_STANDARD CURVES'!$F$16)/'10_STANDARD CURVES'!$F$15*IF(IFERROR(INDEX('11_ASSAY RESULTS'!$H$5:$H$44,MATCH($A33&amp;"|"&amp;$B33,'11_ASSAY RESULTS'!$P$5:$P$44,0)),"")="",1,IFERROR(INDEX('11_ASSAY RESULTS'!$H$5:$H$44,MATCH($A33&amp;"|"&amp;$B33,'11_ASSAY RESULTS'!$P$5:$P$44,0)),""))),"")</f>
        <v/>
      </c>
      <c r="I33" s="32" t="str">
        <f aca="false">IFERROR(IF($A33="","",INDEX('11_ASSAY RESULTS'!$I$5:$I$44,MATCH($A33&amp;"|"&amp;$B33,'11_ASSAY RESULTS'!$P$5:$P$44,0))),"")</f>
        <v/>
      </c>
      <c r="J33" s="32" t="str">
        <f aca="false">IFERROR(IF($A33="","",INDEX('11_ASSAY RESULTS'!$J$5:$J$44,MATCH($A33&amp;"|"&amp;$B33,'11_ASSAY RESULTS'!$P$5:$P$44,0))),"")</f>
        <v/>
      </c>
      <c r="K33" s="32" t="str">
        <f aca="false">IFERROR(IF($A33="","",INDEX('11_ASSAY RESULTS'!$L$5:$L$44,MATCH($A33&amp;"|"&amp;$B33,'11_ASSAY RESULTS'!$P$5:$P$44,0))),"")</f>
        <v/>
      </c>
      <c r="L33" s="32" t="str">
        <f aca="false">IFERROR(IF($A33="","",INDEX('11_ASSAY RESULTS'!$M$5:$M$44,MATCH($A33&amp;"|"&amp;$B33,'11_ASSAY RESULTS'!$P$5:$P$44,0))),"")</f>
        <v/>
      </c>
      <c r="M33" s="21" t="str">
        <f aca="false">IFERROR(IF(AND(K33="",L33=""),"",AVERAGE(K33:L33)),"")</f>
        <v/>
      </c>
      <c r="N33" s="41" t="str">
        <f aca="false">IFERROR(IF(OR(M33="",I33="",J33=""),"",M33*J33*0.09008/I33*100),"")</f>
        <v/>
      </c>
    </row>
    <row r="34" customFormat="false" ht="15.75" hidden="false" customHeight="true" outlineLevel="0" collapsed="false">
      <c r="A34" s="32" t="str">
        <f aca="false">IF('09_BATCH GROWTH LOG'!B34="","",'09_BATCH GROWTH LOG'!B34)</f>
        <v/>
      </c>
      <c r="B34" s="32" t="str">
        <f aca="false">IF('09_BATCH GROWTH LOG'!C34="","",'09_BATCH GROWTH LOG'!C34)</f>
        <v/>
      </c>
      <c r="C34" s="32" t="str">
        <f aca="false">IF('09_BATCH GROWTH LOG'!F34="","",'09_BATCH GROWTH LOG'!F34)</f>
        <v/>
      </c>
      <c r="D34" s="32" t="str">
        <f aca="false">IF('09_BATCH GROWTH LOG'!G34="","",'09_BATCH GROWTH LOG'!G34)</f>
        <v/>
      </c>
      <c r="E34" s="32" t="str">
        <f aca="false">IFERROR(IF($A34="","",INDEX('11_ASSAY RESULTS'!$E$5:$E$44,MATCH($A34&amp;"|"&amp;$B34,'11_ASSAY RESULTS'!$P$5:$P$44,0))),"")</f>
        <v/>
      </c>
      <c r="F34" s="21" t="str">
        <f aca="false">IFERROR(IF(OR(E34="",'10_STANDARD CURVES'!$B$15=""),"",(E34-'10_STANDARD CURVES'!$B$16)/'10_STANDARD CURVES'!$B$15*IF(IFERROR(INDEX('11_ASSAY RESULTS'!$F$5:$F$44,MATCH($A34&amp;"|"&amp;$B34,'11_ASSAY RESULTS'!$P$5:$P$44,0)),"")="",1,IFERROR(INDEX('11_ASSAY RESULTS'!$F$5:$F$44,MATCH($A34&amp;"|"&amp;$B34,'11_ASSAY RESULTS'!$P$5:$P$44,0)),""))),"")</f>
        <v/>
      </c>
      <c r="G34" s="32" t="str">
        <f aca="false">IFERROR(IF($A34="","",INDEX('11_ASSAY RESULTS'!$G$5:$G$44,MATCH($A34&amp;"|"&amp;$B34,'11_ASSAY RESULTS'!$P$5:$P$44,0))),"")</f>
        <v/>
      </c>
      <c r="H34" s="21" t="str">
        <f aca="false">IFERROR(IF(OR(G34="",'10_STANDARD CURVES'!$F$15=""),"",(G34-'10_STANDARD CURVES'!$F$16)/'10_STANDARD CURVES'!$F$15*IF(IFERROR(INDEX('11_ASSAY RESULTS'!$H$5:$H$44,MATCH($A34&amp;"|"&amp;$B34,'11_ASSAY RESULTS'!$P$5:$P$44,0)),"")="",1,IFERROR(INDEX('11_ASSAY RESULTS'!$H$5:$H$44,MATCH($A34&amp;"|"&amp;$B34,'11_ASSAY RESULTS'!$P$5:$P$44,0)),""))),"")</f>
        <v/>
      </c>
      <c r="I34" s="32" t="str">
        <f aca="false">IFERROR(IF($A34="","",INDEX('11_ASSAY RESULTS'!$I$5:$I$44,MATCH($A34&amp;"|"&amp;$B34,'11_ASSAY RESULTS'!$P$5:$P$44,0))),"")</f>
        <v/>
      </c>
      <c r="J34" s="32" t="str">
        <f aca="false">IFERROR(IF($A34="","",INDEX('11_ASSAY RESULTS'!$J$5:$J$44,MATCH($A34&amp;"|"&amp;$B34,'11_ASSAY RESULTS'!$P$5:$P$44,0))),"")</f>
        <v/>
      </c>
      <c r="K34" s="32" t="str">
        <f aca="false">IFERROR(IF($A34="","",INDEX('11_ASSAY RESULTS'!$L$5:$L$44,MATCH($A34&amp;"|"&amp;$B34,'11_ASSAY RESULTS'!$P$5:$P$44,0))),"")</f>
        <v/>
      </c>
      <c r="L34" s="32" t="str">
        <f aca="false">IFERROR(IF($A34="","",INDEX('11_ASSAY RESULTS'!$M$5:$M$44,MATCH($A34&amp;"|"&amp;$B34,'11_ASSAY RESULTS'!$P$5:$P$44,0))),"")</f>
        <v/>
      </c>
      <c r="M34" s="21" t="str">
        <f aca="false">IFERROR(IF(AND(K34="",L34=""),"",AVERAGE(K34:L34)),"")</f>
        <v/>
      </c>
      <c r="N34" s="41" t="str">
        <f aca="false">IFERROR(IF(OR(M34="",I34="",J34=""),"",M34*J34*0.09008/I34*100),"")</f>
        <v/>
      </c>
    </row>
    <row r="35" customFormat="false" ht="15.75" hidden="false" customHeight="true" outlineLevel="0" collapsed="false">
      <c r="A35" s="32" t="str">
        <f aca="false">IF('09_BATCH GROWTH LOG'!B35="","",'09_BATCH GROWTH LOG'!B35)</f>
        <v/>
      </c>
      <c r="B35" s="32" t="str">
        <f aca="false">IF('09_BATCH GROWTH LOG'!C35="","",'09_BATCH GROWTH LOG'!C35)</f>
        <v/>
      </c>
      <c r="C35" s="32" t="str">
        <f aca="false">IF('09_BATCH GROWTH LOG'!F35="","",'09_BATCH GROWTH LOG'!F35)</f>
        <v/>
      </c>
      <c r="D35" s="32" t="str">
        <f aca="false">IF('09_BATCH GROWTH LOG'!G35="","",'09_BATCH GROWTH LOG'!G35)</f>
        <v/>
      </c>
      <c r="E35" s="32" t="str">
        <f aca="false">IFERROR(IF($A35="","",INDEX('11_ASSAY RESULTS'!$E$5:$E$44,MATCH($A35&amp;"|"&amp;$B35,'11_ASSAY RESULTS'!$P$5:$P$44,0))),"")</f>
        <v/>
      </c>
      <c r="F35" s="21" t="str">
        <f aca="false">IFERROR(IF(OR(E35="",'10_STANDARD CURVES'!$B$15=""),"",(E35-'10_STANDARD CURVES'!$B$16)/'10_STANDARD CURVES'!$B$15*IF(IFERROR(INDEX('11_ASSAY RESULTS'!$F$5:$F$44,MATCH($A35&amp;"|"&amp;$B35,'11_ASSAY RESULTS'!$P$5:$P$44,0)),"")="",1,IFERROR(INDEX('11_ASSAY RESULTS'!$F$5:$F$44,MATCH($A35&amp;"|"&amp;$B35,'11_ASSAY RESULTS'!$P$5:$P$44,0)),""))),"")</f>
        <v/>
      </c>
      <c r="G35" s="32" t="str">
        <f aca="false">IFERROR(IF($A35="","",INDEX('11_ASSAY RESULTS'!$G$5:$G$44,MATCH($A35&amp;"|"&amp;$B35,'11_ASSAY RESULTS'!$P$5:$P$44,0))),"")</f>
        <v/>
      </c>
      <c r="H35" s="21" t="str">
        <f aca="false">IFERROR(IF(OR(G35="",'10_STANDARD CURVES'!$F$15=""),"",(G35-'10_STANDARD CURVES'!$F$16)/'10_STANDARD CURVES'!$F$15*IF(IFERROR(INDEX('11_ASSAY RESULTS'!$H$5:$H$44,MATCH($A35&amp;"|"&amp;$B35,'11_ASSAY RESULTS'!$P$5:$P$44,0)),"")="",1,IFERROR(INDEX('11_ASSAY RESULTS'!$H$5:$H$44,MATCH($A35&amp;"|"&amp;$B35,'11_ASSAY RESULTS'!$P$5:$P$44,0)),""))),"")</f>
        <v/>
      </c>
      <c r="I35" s="32" t="str">
        <f aca="false">IFERROR(IF($A35="","",INDEX('11_ASSAY RESULTS'!$I$5:$I$44,MATCH($A35&amp;"|"&amp;$B35,'11_ASSAY RESULTS'!$P$5:$P$44,0))),"")</f>
        <v/>
      </c>
      <c r="J35" s="32" t="str">
        <f aca="false">IFERROR(IF($A35="","",INDEX('11_ASSAY RESULTS'!$J$5:$J$44,MATCH($A35&amp;"|"&amp;$B35,'11_ASSAY RESULTS'!$P$5:$P$44,0))),"")</f>
        <v/>
      </c>
      <c r="K35" s="32" t="str">
        <f aca="false">IFERROR(IF($A35="","",INDEX('11_ASSAY RESULTS'!$L$5:$L$44,MATCH($A35&amp;"|"&amp;$B35,'11_ASSAY RESULTS'!$P$5:$P$44,0))),"")</f>
        <v/>
      </c>
      <c r="L35" s="32" t="str">
        <f aca="false">IFERROR(IF($A35="","",INDEX('11_ASSAY RESULTS'!$M$5:$M$44,MATCH($A35&amp;"|"&amp;$B35,'11_ASSAY RESULTS'!$P$5:$P$44,0))),"")</f>
        <v/>
      </c>
      <c r="M35" s="21" t="str">
        <f aca="false">IFERROR(IF(AND(K35="",L35=""),"",AVERAGE(K35:L35)),"")</f>
        <v/>
      </c>
      <c r="N35" s="41" t="str">
        <f aca="false">IFERROR(IF(OR(M35="",I35="",J35=""),"",M35*J35*0.09008/I35*100),"")</f>
        <v/>
      </c>
    </row>
    <row r="36" customFormat="false" ht="15.75" hidden="false" customHeight="true" outlineLevel="0" collapsed="false">
      <c r="A36" s="32" t="str">
        <f aca="false">IF('09_BATCH GROWTH LOG'!B36="","",'09_BATCH GROWTH LOG'!B36)</f>
        <v/>
      </c>
      <c r="B36" s="32" t="str">
        <f aca="false">IF('09_BATCH GROWTH LOG'!C36="","",'09_BATCH GROWTH LOG'!C36)</f>
        <v/>
      </c>
      <c r="C36" s="32" t="str">
        <f aca="false">IF('09_BATCH GROWTH LOG'!F36="","",'09_BATCH GROWTH LOG'!F36)</f>
        <v/>
      </c>
      <c r="D36" s="32" t="str">
        <f aca="false">IF('09_BATCH GROWTH LOG'!G36="","",'09_BATCH GROWTH LOG'!G36)</f>
        <v/>
      </c>
      <c r="E36" s="32" t="str">
        <f aca="false">IFERROR(IF($A36="","",INDEX('11_ASSAY RESULTS'!$E$5:$E$44,MATCH($A36&amp;"|"&amp;$B36,'11_ASSAY RESULTS'!$P$5:$P$44,0))),"")</f>
        <v/>
      </c>
      <c r="F36" s="21" t="str">
        <f aca="false">IFERROR(IF(OR(E36="",'10_STANDARD CURVES'!$B$15=""),"",(E36-'10_STANDARD CURVES'!$B$16)/'10_STANDARD CURVES'!$B$15*IF(IFERROR(INDEX('11_ASSAY RESULTS'!$F$5:$F$44,MATCH($A36&amp;"|"&amp;$B36,'11_ASSAY RESULTS'!$P$5:$P$44,0)),"")="",1,IFERROR(INDEX('11_ASSAY RESULTS'!$F$5:$F$44,MATCH($A36&amp;"|"&amp;$B36,'11_ASSAY RESULTS'!$P$5:$P$44,0)),""))),"")</f>
        <v/>
      </c>
      <c r="G36" s="32" t="str">
        <f aca="false">IFERROR(IF($A36="","",INDEX('11_ASSAY RESULTS'!$G$5:$G$44,MATCH($A36&amp;"|"&amp;$B36,'11_ASSAY RESULTS'!$P$5:$P$44,0))),"")</f>
        <v/>
      </c>
      <c r="H36" s="21" t="str">
        <f aca="false">IFERROR(IF(OR(G36="",'10_STANDARD CURVES'!$F$15=""),"",(G36-'10_STANDARD CURVES'!$F$16)/'10_STANDARD CURVES'!$F$15*IF(IFERROR(INDEX('11_ASSAY RESULTS'!$H$5:$H$44,MATCH($A36&amp;"|"&amp;$B36,'11_ASSAY RESULTS'!$P$5:$P$44,0)),"")="",1,IFERROR(INDEX('11_ASSAY RESULTS'!$H$5:$H$44,MATCH($A36&amp;"|"&amp;$B36,'11_ASSAY RESULTS'!$P$5:$P$44,0)),""))),"")</f>
        <v/>
      </c>
      <c r="I36" s="32" t="str">
        <f aca="false">IFERROR(IF($A36="","",INDEX('11_ASSAY RESULTS'!$I$5:$I$44,MATCH($A36&amp;"|"&amp;$B36,'11_ASSAY RESULTS'!$P$5:$P$44,0))),"")</f>
        <v/>
      </c>
      <c r="J36" s="32" t="str">
        <f aca="false">IFERROR(IF($A36="","",INDEX('11_ASSAY RESULTS'!$J$5:$J$44,MATCH($A36&amp;"|"&amp;$B36,'11_ASSAY RESULTS'!$P$5:$P$44,0))),"")</f>
        <v/>
      </c>
      <c r="K36" s="32" t="str">
        <f aca="false">IFERROR(IF($A36="","",INDEX('11_ASSAY RESULTS'!$L$5:$L$44,MATCH($A36&amp;"|"&amp;$B36,'11_ASSAY RESULTS'!$P$5:$P$44,0))),"")</f>
        <v/>
      </c>
      <c r="L36" s="32" t="str">
        <f aca="false">IFERROR(IF($A36="","",INDEX('11_ASSAY RESULTS'!$M$5:$M$44,MATCH($A36&amp;"|"&amp;$B36,'11_ASSAY RESULTS'!$P$5:$P$44,0))),"")</f>
        <v/>
      </c>
      <c r="M36" s="21" t="str">
        <f aca="false">IFERROR(IF(AND(K36="",L36=""),"",AVERAGE(K36:L36)),"")</f>
        <v/>
      </c>
      <c r="N36" s="41" t="str">
        <f aca="false">IFERROR(IF(OR(M36="",I36="",J36=""),"",M36*J36*0.09008/I36*100),"")</f>
        <v/>
      </c>
    </row>
    <row r="37" customFormat="false" ht="15.75" hidden="false" customHeight="true" outlineLevel="0" collapsed="false">
      <c r="A37" s="32" t="str">
        <f aca="false">IF('09_BATCH GROWTH LOG'!B37="","",'09_BATCH GROWTH LOG'!B37)</f>
        <v/>
      </c>
      <c r="B37" s="32" t="str">
        <f aca="false">IF('09_BATCH GROWTH LOG'!C37="","",'09_BATCH GROWTH LOG'!C37)</f>
        <v/>
      </c>
      <c r="C37" s="32" t="str">
        <f aca="false">IF('09_BATCH GROWTH LOG'!F37="","",'09_BATCH GROWTH LOG'!F37)</f>
        <v/>
      </c>
      <c r="D37" s="32" t="str">
        <f aca="false">IF('09_BATCH GROWTH LOG'!G37="","",'09_BATCH GROWTH LOG'!G37)</f>
        <v/>
      </c>
      <c r="E37" s="32" t="str">
        <f aca="false">IFERROR(IF($A37="","",INDEX('11_ASSAY RESULTS'!$E$5:$E$44,MATCH($A37&amp;"|"&amp;$B37,'11_ASSAY RESULTS'!$P$5:$P$44,0))),"")</f>
        <v/>
      </c>
      <c r="F37" s="21" t="str">
        <f aca="false">IFERROR(IF(OR(E37="",'10_STANDARD CURVES'!$B$15=""),"",(E37-'10_STANDARD CURVES'!$B$16)/'10_STANDARD CURVES'!$B$15*IF(IFERROR(INDEX('11_ASSAY RESULTS'!$F$5:$F$44,MATCH($A37&amp;"|"&amp;$B37,'11_ASSAY RESULTS'!$P$5:$P$44,0)),"")="",1,IFERROR(INDEX('11_ASSAY RESULTS'!$F$5:$F$44,MATCH($A37&amp;"|"&amp;$B37,'11_ASSAY RESULTS'!$P$5:$P$44,0)),""))),"")</f>
        <v/>
      </c>
      <c r="G37" s="32" t="str">
        <f aca="false">IFERROR(IF($A37="","",INDEX('11_ASSAY RESULTS'!$G$5:$G$44,MATCH($A37&amp;"|"&amp;$B37,'11_ASSAY RESULTS'!$P$5:$P$44,0))),"")</f>
        <v/>
      </c>
      <c r="H37" s="21" t="str">
        <f aca="false">IFERROR(IF(OR(G37="",'10_STANDARD CURVES'!$F$15=""),"",(G37-'10_STANDARD CURVES'!$F$16)/'10_STANDARD CURVES'!$F$15*IF(IFERROR(INDEX('11_ASSAY RESULTS'!$H$5:$H$44,MATCH($A37&amp;"|"&amp;$B37,'11_ASSAY RESULTS'!$P$5:$P$44,0)),"")="",1,IFERROR(INDEX('11_ASSAY RESULTS'!$H$5:$H$44,MATCH($A37&amp;"|"&amp;$B37,'11_ASSAY RESULTS'!$P$5:$P$44,0)),""))),"")</f>
        <v/>
      </c>
      <c r="I37" s="32" t="str">
        <f aca="false">IFERROR(IF($A37="","",INDEX('11_ASSAY RESULTS'!$I$5:$I$44,MATCH($A37&amp;"|"&amp;$B37,'11_ASSAY RESULTS'!$P$5:$P$44,0))),"")</f>
        <v/>
      </c>
      <c r="J37" s="32" t="str">
        <f aca="false">IFERROR(IF($A37="","",INDEX('11_ASSAY RESULTS'!$J$5:$J$44,MATCH($A37&amp;"|"&amp;$B37,'11_ASSAY RESULTS'!$P$5:$P$44,0))),"")</f>
        <v/>
      </c>
      <c r="K37" s="32" t="str">
        <f aca="false">IFERROR(IF($A37="","",INDEX('11_ASSAY RESULTS'!$L$5:$L$44,MATCH($A37&amp;"|"&amp;$B37,'11_ASSAY RESULTS'!$P$5:$P$44,0))),"")</f>
        <v/>
      </c>
      <c r="L37" s="32" t="str">
        <f aca="false">IFERROR(IF($A37="","",INDEX('11_ASSAY RESULTS'!$M$5:$M$44,MATCH($A37&amp;"|"&amp;$B37,'11_ASSAY RESULTS'!$P$5:$P$44,0))),"")</f>
        <v/>
      </c>
      <c r="M37" s="21" t="str">
        <f aca="false">IFERROR(IF(AND(K37="",L37=""),"",AVERAGE(K37:L37)),"")</f>
        <v/>
      </c>
      <c r="N37" s="41" t="str">
        <f aca="false">IFERROR(IF(OR(M37="",I37="",J37=""),"",M37*J37*0.09008/I37*100),"")</f>
        <v/>
      </c>
    </row>
    <row r="38" customFormat="false" ht="15.75" hidden="false" customHeight="true" outlineLevel="0" collapsed="false">
      <c r="A38" s="32" t="str">
        <f aca="false">IF('09_BATCH GROWTH LOG'!B38="","",'09_BATCH GROWTH LOG'!B38)</f>
        <v/>
      </c>
      <c r="B38" s="32" t="str">
        <f aca="false">IF('09_BATCH GROWTH LOG'!C38="","",'09_BATCH GROWTH LOG'!C38)</f>
        <v/>
      </c>
      <c r="C38" s="32" t="str">
        <f aca="false">IF('09_BATCH GROWTH LOG'!F38="","",'09_BATCH GROWTH LOG'!F38)</f>
        <v/>
      </c>
      <c r="D38" s="32" t="str">
        <f aca="false">IF('09_BATCH GROWTH LOG'!G38="","",'09_BATCH GROWTH LOG'!G38)</f>
        <v/>
      </c>
      <c r="E38" s="32" t="str">
        <f aca="false">IFERROR(IF($A38="","",INDEX('11_ASSAY RESULTS'!$E$5:$E$44,MATCH($A38&amp;"|"&amp;$B38,'11_ASSAY RESULTS'!$P$5:$P$44,0))),"")</f>
        <v/>
      </c>
      <c r="F38" s="21" t="str">
        <f aca="false">IFERROR(IF(OR(E38="",'10_STANDARD CURVES'!$B$15=""),"",(E38-'10_STANDARD CURVES'!$B$16)/'10_STANDARD CURVES'!$B$15*IF(IFERROR(INDEX('11_ASSAY RESULTS'!$F$5:$F$44,MATCH($A38&amp;"|"&amp;$B38,'11_ASSAY RESULTS'!$P$5:$P$44,0)),"")="",1,IFERROR(INDEX('11_ASSAY RESULTS'!$F$5:$F$44,MATCH($A38&amp;"|"&amp;$B38,'11_ASSAY RESULTS'!$P$5:$P$44,0)),""))),"")</f>
        <v/>
      </c>
      <c r="G38" s="32" t="str">
        <f aca="false">IFERROR(IF($A38="","",INDEX('11_ASSAY RESULTS'!$G$5:$G$44,MATCH($A38&amp;"|"&amp;$B38,'11_ASSAY RESULTS'!$P$5:$P$44,0))),"")</f>
        <v/>
      </c>
      <c r="H38" s="21" t="str">
        <f aca="false">IFERROR(IF(OR(G38="",'10_STANDARD CURVES'!$F$15=""),"",(G38-'10_STANDARD CURVES'!$F$16)/'10_STANDARD CURVES'!$F$15*IF(IFERROR(INDEX('11_ASSAY RESULTS'!$H$5:$H$44,MATCH($A38&amp;"|"&amp;$B38,'11_ASSAY RESULTS'!$P$5:$P$44,0)),"")="",1,IFERROR(INDEX('11_ASSAY RESULTS'!$H$5:$H$44,MATCH($A38&amp;"|"&amp;$B38,'11_ASSAY RESULTS'!$P$5:$P$44,0)),""))),"")</f>
        <v/>
      </c>
      <c r="I38" s="32" t="str">
        <f aca="false">IFERROR(IF($A38="","",INDEX('11_ASSAY RESULTS'!$I$5:$I$44,MATCH($A38&amp;"|"&amp;$B38,'11_ASSAY RESULTS'!$P$5:$P$44,0))),"")</f>
        <v/>
      </c>
      <c r="J38" s="32" t="str">
        <f aca="false">IFERROR(IF($A38="","",INDEX('11_ASSAY RESULTS'!$J$5:$J$44,MATCH($A38&amp;"|"&amp;$B38,'11_ASSAY RESULTS'!$P$5:$P$44,0))),"")</f>
        <v/>
      </c>
      <c r="K38" s="32" t="str">
        <f aca="false">IFERROR(IF($A38="","",INDEX('11_ASSAY RESULTS'!$L$5:$L$44,MATCH($A38&amp;"|"&amp;$B38,'11_ASSAY RESULTS'!$P$5:$P$44,0))),"")</f>
        <v/>
      </c>
      <c r="L38" s="32" t="str">
        <f aca="false">IFERROR(IF($A38="","",INDEX('11_ASSAY RESULTS'!$M$5:$M$44,MATCH($A38&amp;"|"&amp;$B38,'11_ASSAY RESULTS'!$P$5:$P$44,0))),"")</f>
        <v/>
      </c>
      <c r="M38" s="21" t="str">
        <f aca="false">IFERROR(IF(AND(K38="",L38=""),"",AVERAGE(K38:L38)),"")</f>
        <v/>
      </c>
      <c r="N38" s="41" t="str">
        <f aca="false">IFERROR(IF(OR(M38="",I38="",J38=""),"",M38*J38*0.09008/I38*100),"")</f>
        <v/>
      </c>
    </row>
    <row r="39" customFormat="false" ht="15.75" hidden="false" customHeight="true" outlineLevel="0" collapsed="false">
      <c r="A39" s="32" t="str">
        <f aca="false">IF('09_BATCH GROWTH LOG'!B39="","",'09_BATCH GROWTH LOG'!B39)</f>
        <v/>
      </c>
      <c r="B39" s="32" t="str">
        <f aca="false">IF('09_BATCH GROWTH LOG'!C39="","",'09_BATCH GROWTH LOG'!C39)</f>
        <v/>
      </c>
      <c r="C39" s="32" t="str">
        <f aca="false">IF('09_BATCH GROWTH LOG'!F39="","",'09_BATCH GROWTH LOG'!F39)</f>
        <v/>
      </c>
      <c r="D39" s="32" t="str">
        <f aca="false">IF('09_BATCH GROWTH LOG'!G39="","",'09_BATCH GROWTH LOG'!G39)</f>
        <v/>
      </c>
      <c r="E39" s="32" t="str">
        <f aca="false">IFERROR(IF($A39="","",INDEX('11_ASSAY RESULTS'!$E$5:$E$44,MATCH($A39&amp;"|"&amp;$B39,'11_ASSAY RESULTS'!$P$5:$P$44,0))),"")</f>
        <v/>
      </c>
      <c r="F39" s="21" t="str">
        <f aca="false">IFERROR(IF(OR(E39="",'10_STANDARD CURVES'!$B$15=""),"",(E39-'10_STANDARD CURVES'!$B$16)/'10_STANDARD CURVES'!$B$15*IF(IFERROR(INDEX('11_ASSAY RESULTS'!$F$5:$F$44,MATCH($A39&amp;"|"&amp;$B39,'11_ASSAY RESULTS'!$P$5:$P$44,0)),"")="",1,IFERROR(INDEX('11_ASSAY RESULTS'!$F$5:$F$44,MATCH($A39&amp;"|"&amp;$B39,'11_ASSAY RESULTS'!$P$5:$P$44,0)),""))),"")</f>
        <v/>
      </c>
      <c r="G39" s="32" t="str">
        <f aca="false">IFERROR(IF($A39="","",INDEX('11_ASSAY RESULTS'!$G$5:$G$44,MATCH($A39&amp;"|"&amp;$B39,'11_ASSAY RESULTS'!$P$5:$P$44,0))),"")</f>
        <v/>
      </c>
      <c r="H39" s="21" t="str">
        <f aca="false">IFERROR(IF(OR(G39="",'10_STANDARD CURVES'!$F$15=""),"",(G39-'10_STANDARD CURVES'!$F$16)/'10_STANDARD CURVES'!$F$15*IF(IFERROR(INDEX('11_ASSAY RESULTS'!$H$5:$H$44,MATCH($A39&amp;"|"&amp;$B39,'11_ASSAY RESULTS'!$P$5:$P$44,0)),"")="",1,IFERROR(INDEX('11_ASSAY RESULTS'!$H$5:$H$44,MATCH($A39&amp;"|"&amp;$B39,'11_ASSAY RESULTS'!$P$5:$P$44,0)),""))),"")</f>
        <v/>
      </c>
      <c r="I39" s="32" t="str">
        <f aca="false">IFERROR(IF($A39="","",INDEX('11_ASSAY RESULTS'!$I$5:$I$44,MATCH($A39&amp;"|"&amp;$B39,'11_ASSAY RESULTS'!$P$5:$P$44,0))),"")</f>
        <v/>
      </c>
      <c r="J39" s="32" t="str">
        <f aca="false">IFERROR(IF($A39="","",INDEX('11_ASSAY RESULTS'!$J$5:$J$44,MATCH($A39&amp;"|"&amp;$B39,'11_ASSAY RESULTS'!$P$5:$P$44,0))),"")</f>
        <v/>
      </c>
      <c r="K39" s="32" t="str">
        <f aca="false">IFERROR(IF($A39="","",INDEX('11_ASSAY RESULTS'!$L$5:$L$44,MATCH($A39&amp;"|"&amp;$B39,'11_ASSAY RESULTS'!$P$5:$P$44,0))),"")</f>
        <v/>
      </c>
      <c r="L39" s="32" t="str">
        <f aca="false">IFERROR(IF($A39="","",INDEX('11_ASSAY RESULTS'!$M$5:$M$44,MATCH($A39&amp;"|"&amp;$B39,'11_ASSAY RESULTS'!$P$5:$P$44,0))),"")</f>
        <v/>
      </c>
      <c r="M39" s="21" t="str">
        <f aca="false">IFERROR(IF(AND(K39="",L39=""),"",AVERAGE(K39:L39)),"")</f>
        <v/>
      </c>
      <c r="N39" s="41" t="str">
        <f aca="false">IFERROR(IF(OR(M39="",I39="",J39=""),"",M39*J39*0.09008/I39*100),"")</f>
        <v/>
      </c>
    </row>
    <row r="40" customFormat="false" ht="15.75" hidden="false" customHeight="true" outlineLevel="0" collapsed="false">
      <c r="A40" s="32" t="str">
        <f aca="false">IF('09_BATCH GROWTH LOG'!B40="","",'09_BATCH GROWTH LOG'!B40)</f>
        <v/>
      </c>
      <c r="B40" s="32" t="str">
        <f aca="false">IF('09_BATCH GROWTH LOG'!C40="","",'09_BATCH GROWTH LOG'!C40)</f>
        <v/>
      </c>
      <c r="C40" s="32" t="str">
        <f aca="false">IF('09_BATCH GROWTH LOG'!F40="","",'09_BATCH GROWTH LOG'!F40)</f>
        <v/>
      </c>
      <c r="D40" s="32" t="str">
        <f aca="false">IF('09_BATCH GROWTH LOG'!G40="","",'09_BATCH GROWTH LOG'!G40)</f>
        <v/>
      </c>
      <c r="E40" s="32" t="str">
        <f aca="false">IFERROR(IF($A40="","",INDEX('11_ASSAY RESULTS'!$E$5:$E$44,MATCH($A40&amp;"|"&amp;$B40,'11_ASSAY RESULTS'!$P$5:$P$44,0))),"")</f>
        <v/>
      </c>
      <c r="F40" s="21" t="str">
        <f aca="false">IFERROR(IF(OR(E40="",'10_STANDARD CURVES'!$B$15=""),"",(E40-'10_STANDARD CURVES'!$B$16)/'10_STANDARD CURVES'!$B$15*IF(IFERROR(INDEX('11_ASSAY RESULTS'!$F$5:$F$44,MATCH($A40&amp;"|"&amp;$B40,'11_ASSAY RESULTS'!$P$5:$P$44,0)),"")="",1,IFERROR(INDEX('11_ASSAY RESULTS'!$F$5:$F$44,MATCH($A40&amp;"|"&amp;$B40,'11_ASSAY RESULTS'!$P$5:$P$44,0)),""))),"")</f>
        <v/>
      </c>
      <c r="G40" s="32" t="str">
        <f aca="false">IFERROR(IF($A40="","",INDEX('11_ASSAY RESULTS'!$G$5:$G$44,MATCH($A40&amp;"|"&amp;$B40,'11_ASSAY RESULTS'!$P$5:$P$44,0))),"")</f>
        <v/>
      </c>
      <c r="H40" s="21" t="str">
        <f aca="false">IFERROR(IF(OR(G40="",'10_STANDARD CURVES'!$F$15=""),"",(G40-'10_STANDARD CURVES'!$F$16)/'10_STANDARD CURVES'!$F$15*IF(IFERROR(INDEX('11_ASSAY RESULTS'!$H$5:$H$44,MATCH($A40&amp;"|"&amp;$B40,'11_ASSAY RESULTS'!$P$5:$P$44,0)),"")="",1,IFERROR(INDEX('11_ASSAY RESULTS'!$H$5:$H$44,MATCH($A40&amp;"|"&amp;$B40,'11_ASSAY RESULTS'!$P$5:$P$44,0)),""))),"")</f>
        <v/>
      </c>
      <c r="I40" s="32" t="str">
        <f aca="false">IFERROR(IF($A40="","",INDEX('11_ASSAY RESULTS'!$I$5:$I$44,MATCH($A40&amp;"|"&amp;$B40,'11_ASSAY RESULTS'!$P$5:$P$44,0))),"")</f>
        <v/>
      </c>
      <c r="J40" s="32" t="str">
        <f aca="false">IFERROR(IF($A40="","",INDEX('11_ASSAY RESULTS'!$J$5:$J$44,MATCH($A40&amp;"|"&amp;$B40,'11_ASSAY RESULTS'!$P$5:$P$44,0))),"")</f>
        <v/>
      </c>
      <c r="K40" s="32" t="str">
        <f aca="false">IFERROR(IF($A40="","",INDEX('11_ASSAY RESULTS'!$L$5:$L$44,MATCH($A40&amp;"|"&amp;$B40,'11_ASSAY RESULTS'!$P$5:$P$44,0))),"")</f>
        <v/>
      </c>
      <c r="L40" s="32" t="str">
        <f aca="false">IFERROR(IF($A40="","",INDEX('11_ASSAY RESULTS'!$M$5:$M$44,MATCH($A40&amp;"|"&amp;$B40,'11_ASSAY RESULTS'!$P$5:$P$44,0))),"")</f>
        <v/>
      </c>
      <c r="M40" s="21" t="str">
        <f aca="false">IFERROR(IF(AND(K40="",L40=""),"",AVERAGE(K40:L40)),"")</f>
        <v/>
      </c>
      <c r="N40" s="41" t="str">
        <f aca="false">IFERROR(IF(OR(M40="",I40="",J40=""),"",M40*J40*0.09008/I40*100),"")</f>
        <v/>
      </c>
    </row>
    <row r="41" customFormat="false" ht="15.75" hidden="false" customHeight="true" outlineLevel="0" collapsed="false">
      <c r="A41" s="32" t="str">
        <f aca="false">IF('09_BATCH GROWTH LOG'!B41="","",'09_BATCH GROWTH LOG'!B41)</f>
        <v/>
      </c>
      <c r="B41" s="32" t="str">
        <f aca="false">IF('09_BATCH GROWTH LOG'!C41="","",'09_BATCH GROWTH LOG'!C41)</f>
        <v/>
      </c>
      <c r="C41" s="32" t="str">
        <f aca="false">IF('09_BATCH GROWTH LOG'!F41="","",'09_BATCH GROWTH LOG'!F41)</f>
        <v/>
      </c>
      <c r="D41" s="32" t="str">
        <f aca="false">IF('09_BATCH GROWTH LOG'!G41="","",'09_BATCH GROWTH LOG'!G41)</f>
        <v/>
      </c>
      <c r="E41" s="32" t="str">
        <f aca="false">IFERROR(IF($A41="","",INDEX('11_ASSAY RESULTS'!$E$5:$E$44,MATCH($A41&amp;"|"&amp;$B41,'11_ASSAY RESULTS'!$P$5:$P$44,0))),"")</f>
        <v/>
      </c>
      <c r="F41" s="21" t="str">
        <f aca="false">IFERROR(IF(OR(E41="",'10_STANDARD CURVES'!$B$15=""),"",(E41-'10_STANDARD CURVES'!$B$16)/'10_STANDARD CURVES'!$B$15*IF(IFERROR(INDEX('11_ASSAY RESULTS'!$F$5:$F$44,MATCH($A41&amp;"|"&amp;$B41,'11_ASSAY RESULTS'!$P$5:$P$44,0)),"")="",1,IFERROR(INDEX('11_ASSAY RESULTS'!$F$5:$F$44,MATCH($A41&amp;"|"&amp;$B41,'11_ASSAY RESULTS'!$P$5:$P$44,0)),""))),"")</f>
        <v/>
      </c>
      <c r="G41" s="32" t="str">
        <f aca="false">IFERROR(IF($A41="","",INDEX('11_ASSAY RESULTS'!$G$5:$G$44,MATCH($A41&amp;"|"&amp;$B41,'11_ASSAY RESULTS'!$P$5:$P$44,0))),"")</f>
        <v/>
      </c>
      <c r="H41" s="21" t="str">
        <f aca="false">IFERROR(IF(OR(G41="",'10_STANDARD CURVES'!$F$15=""),"",(G41-'10_STANDARD CURVES'!$F$16)/'10_STANDARD CURVES'!$F$15*IF(IFERROR(INDEX('11_ASSAY RESULTS'!$H$5:$H$44,MATCH($A41&amp;"|"&amp;$B41,'11_ASSAY RESULTS'!$P$5:$P$44,0)),"")="",1,IFERROR(INDEX('11_ASSAY RESULTS'!$H$5:$H$44,MATCH($A41&amp;"|"&amp;$B41,'11_ASSAY RESULTS'!$P$5:$P$44,0)),""))),"")</f>
        <v/>
      </c>
      <c r="I41" s="32" t="str">
        <f aca="false">IFERROR(IF($A41="","",INDEX('11_ASSAY RESULTS'!$I$5:$I$44,MATCH($A41&amp;"|"&amp;$B41,'11_ASSAY RESULTS'!$P$5:$P$44,0))),"")</f>
        <v/>
      </c>
      <c r="J41" s="32" t="str">
        <f aca="false">IFERROR(IF($A41="","",INDEX('11_ASSAY RESULTS'!$J$5:$J$44,MATCH($A41&amp;"|"&amp;$B41,'11_ASSAY RESULTS'!$P$5:$P$44,0))),"")</f>
        <v/>
      </c>
      <c r="K41" s="32" t="str">
        <f aca="false">IFERROR(IF($A41="","",INDEX('11_ASSAY RESULTS'!$L$5:$L$44,MATCH($A41&amp;"|"&amp;$B41,'11_ASSAY RESULTS'!$P$5:$P$44,0))),"")</f>
        <v/>
      </c>
      <c r="L41" s="32" t="str">
        <f aca="false">IFERROR(IF($A41="","",INDEX('11_ASSAY RESULTS'!$M$5:$M$44,MATCH($A41&amp;"|"&amp;$B41,'11_ASSAY RESULTS'!$P$5:$P$44,0))),"")</f>
        <v/>
      </c>
      <c r="M41" s="21" t="str">
        <f aca="false">IFERROR(IF(AND(K41="",L41=""),"",AVERAGE(K41:L41)),"")</f>
        <v/>
      </c>
      <c r="N41" s="41" t="str">
        <f aca="false">IFERROR(IF(OR(M41="",I41="",J41=""),"",M41*J41*0.09008/I41*100),"")</f>
        <v/>
      </c>
    </row>
    <row r="42" customFormat="false" ht="15.75" hidden="false" customHeight="true" outlineLevel="0" collapsed="false">
      <c r="A42" s="32" t="str">
        <f aca="false">IF('09_BATCH GROWTH LOG'!B42="","",'09_BATCH GROWTH LOG'!B42)</f>
        <v/>
      </c>
      <c r="B42" s="32" t="str">
        <f aca="false">IF('09_BATCH GROWTH LOG'!C42="","",'09_BATCH GROWTH LOG'!C42)</f>
        <v/>
      </c>
      <c r="C42" s="32" t="str">
        <f aca="false">IF('09_BATCH GROWTH LOG'!F42="","",'09_BATCH GROWTH LOG'!F42)</f>
        <v/>
      </c>
      <c r="D42" s="32" t="str">
        <f aca="false">IF('09_BATCH GROWTH LOG'!G42="","",'09_BATCH GROWTH LOG'!G42)</f>
        <v/>
      </c>
      <c r="E42" s="32" t="str">
        <f aca="false">IFERROR(IF($A42="","",INDEX('11_ASSAY RESULTS'!$E$5:$E$44,MATCH($A42&amp;"|"&amp;$B42,'11_ASSAY RESULTS'!$P$5:$P$44,0))),"")</f>
        <v/>
      </c>
      <c r="F42" s="21" t="str">
        <f aca="false">IFERROR(IF(OR(E42="",'10_STANDARD CURVES'!$B$15=""),"",(E42-'10_STANDARD CURVES'!$B$16)/'10_STANDARD CURVES'!$B$15*IF(IFERROR(INDEX('11_ASSAY RESULTS'!$F$5:$F$44,MATCH($A42&amp;"|"&amp;$B42,'11_ASSAY RESULTS'!$P$5:$P$44,0)),"")="",1,IFERROR(INDEX('11_ASSAY RESULTS'!$F$5:$F$44,MATCH($A42&amp;"|"&amp;$B42,'11_ASSAY RESULTS'!$P$5:$P$44,0)),""))),"")</f>
        <v/>
      </c>
      <c r="G42" s="32" t="str">
        <f aca="false">IFERROR(IF($A42="","",INDEX('11_ASSAY RESULTS'!$G$5:$G$44,MATCH($A42&amp;"|"&amp;$B42,'11_ASSAY RESULTS'!$P$5:$P$44,0))),"")</f>
        <v/>
      </c>
      <c r="H42" s="21" t="str">
        <f aca="false">IFERROR(IF(OR(G42="",'10_STANDARD CURVES'!$F$15=""),"",(G42-'10_STANDARD CURVES'!$F$16)/'10_STANDARD CURVES'!$F$15*IF(IFERROR(INDEX('11_ASSAY RESULTS'!$H$5:$H$44,MATCH($A42&amp;"|"&amp;$B42,'11_ASSAY RESULTS'!$P$5:$P$44,0)),"")="",1,IFERROR(INDEX('11_ASSAY RESULTS'!$H$5:$H$44,MATCH($A42&amp;"|"&amp;$B42,'11_ASSAY RESULTS'!$P$5:$P$44,0)),""))),"")</f>
        <v/>
      </c>
      <c r="I42" s="32" t="str">
        <f aca="false">IFERROR(IF($A42="","",INDEX('11_ASSAY RESULTS'!$I$5:$I$44,MATCH($A42&amp;"|"&amp;$B42,'11_ASSAY RESULTS'!$P$5:$P$44,0))),"")</f>
        <v/>
      </c>
      <c r="J42" s="32" t="str">
        <f aca="false">IFERROR(IF($A42="","",INDEX('11_ASSAY RESULTS'!$J$5:$J$44,MATCH($A42&amp;"|"&amp;$B42,'11_ASSAY RESULTS'!$P$5:$P$44,0))),"")</f>
        <v/>
      </c>
      <c r="K42" s="32" t="str">
        <f aca="false">IFERROR(IF($A42="","",INDEX('11_ASSAY RESULTS'!$L$5:$L$44,MATCH($A42&amp;"|"&amp;$B42,'11_ASSAY RESULTS'!$P$5:$P$44,0))),"")</f>
        <v/>
      </c>
      <c r="L42" s="32" t="str">
        <f aca="false">IFERROR(IF($A42="","",INDEX('11_ASSAY RESULTS'!$M$5:$M$44,MATCH($A42&amp;"|"&amp;$B42,'11_ASSAY RESULTS'!$P$5:$P$44,0))),"")</f>
        <v/>
      </c>
      <c r="M42" s="21" t="str">
        <f aca="false">IFERROR(IF(AND(K42="",L42=""),"",AVERAGE(K42:L42)),"")</f>
        <v/>
      </c>
      <c r="N42" s="41" t="str">
        <f aca="false">IFERROR(IF(OR(M42="",I42="",J42=""),"",M42*J42*0.09008/I42*100),"")</f>
        <v/>
      </c>
    </row>
    <row r="43" customFormat="false" ht="15.75" hidden="false" customHeight="true" outlineLevel="0" collapsed="false">
      <c r="A43" s="32" t="str">
        <f aca="false">IF('09_BATCH GROWTH LOG'!B43="","",'09_BATCH GROWTH LOG'!B43)</f>
        <v/>
      </c>
      <c r="B43" s="32" t="str">
        <f aca="false">IF('09_BATCH GROWTH LOG'!C43="","",'09_BATCH GROWTH LOG'!C43)</f>
        <v/>
      </c>
      <c r="C43" s="32" t="str">
        <f aca="false">IF('09_BATCH GROWTH LOG'!F43="","",'09_BATCH GROWTH LOG'!F43)</f>
        <v/>
      </c>
      <c r="D43" s="32" t="str">
        <f aca="false">IF('09_BATCH GROWTH LOG'!G43="","",'09_BATCH GROWTH LOG'!G43)</f>
        <v/>
      </c>
      <c r="E43" s="32" t="str">
        <f aca="false">IFERROR(IF($A43="","",INDEX('11_ASSAY RESULTS'!$E$5:$E$44,MATCH($A43&amp;"|"&amp;$B43,'11_ASSAY RESULTS'!$P$5:$P$44,0))),"")</f>
        <v/>
      </c>
      <c r="F43" s="21" t="str">
        <f aca="false">IFERROR(IF(OR(E43="",'10_STANDARD CURVES'!$B$15=""),"",(E43-'10_STANDARD CURVES'!$B$16)/'10_STANDARD CURVES'!$B$15*IF(IFERROR(INDEX('11_ASSAY RESULTS'!$F$5:$F$44,MATCH($A43&amp;"|"&amp;$B43,'11_ASSAY RESULTS'!$P$5:$P$44,0)),"")="",1,IFERROR(INDEX('11_ASSAY RESULTS'!$F$5:$F$44,MATCH($A43&amp;"|"&amp;$B43,'11_ASSAY RESULTS'!$P$5:$P$44,0)),""))),"")</f>
        <v/>
      </c>
      <c r="G43" s="32" t="str">
        <f aca="false">IFERROR(IF($A43="","",INDEX('11_ASSAY RESULTS'!$G$5:$G$44,MATCH($A43&amp;"|"&amp;$B43,'11_ASSAY RESULTS'!$P$5:$P$44,0))),"")</f>
        <v/>
      </c>
      <c r="H43" s="21" t="str">
        <f aca="false">IFERROR(IF(OR(G43="",'10_STANDARD CURVES'!$F$15=""),"",(G43-'10_STANDARD CURVES'!$F$16)/'10_STANDARD CURVES'!$F$15*IF(IFERROR(INDEX('11_ASSAY RESULTS'!$H$5:$H$44,MATCH($A43&amp;"|"&amp;$B43,'11_ASSAY RESULTS'!$P$5:$P$44,0)),"")="",1,IFERROR(INDEX('11_ASSAY RESULTS'!$H$5:$H$44,MATCH($A43&amp;"|"&amp;$B43,'11_ASSAY RESULTS'!$P$5:$P$44,0)),""))),"")</f>
        <v/>
      </c>
      <c r="I43" s="32" t="str">
        <f aca="false">IFERROR(IF($A43="","",INDEX('11_ASSAY RESULTS'!$I$5:$I$44,MATCH($A43&amp;"|"&amp;$B43,'11_ASSAY RESULTS'!$P$5:$P$44,0))),"")</f>
        <v/>
      </c>
      <c r="J43" s="32" t="str">
        <f aca="false">IFERROR(IF($A43="","",INDEX('11_ASSAY RESULTS'!$J$5:$J$44,MATCH($A43&amp;"|"&amp;$B43,'11_ASSAY RESULTS'!$P$5:$P$44,0))),"")</f>
        <v/>
      </c>
      <c r="K43" s="32" t="str">
        <f aca="false">IFERROR(IF($A43="","",INDEX('11_ASSAY RESULTS'!$L$5:$L$44,MATCH($A43&amp;"|"&amp;$B43,'11_ASSAY RESULTS'!$P$5:$P$44,0))),"")</f>
        <v/>
      </c>
      <c r="L43" s="32" t="str">
        <f aca="false">IFERROR(IF($A43="","",INDEX('11_ASSAY RESULTS'!$M$5:$M$44,MATCH($A43&amp;"|"&amp;$B43,'11_ASSAY RESULTS'!$P$5:$P$44,0))),"")</f>
        <v/>
      </c>
      <c r="M43" s="21" t="str">
        <f aca="false">IFERROR(IF(AND(K43="",L43=""),"",AVERAGE(K43:L43)),"")</f>
        <v/>
      </c>
      <c r="N43" s="41" t="str">
        <f aca="false">IFERROR(IF(OR(M43="",I43="",J43=""),"",M43*J43*0.09008/I43*100),"")</f>
        <v/>
      </c>
    </row>
    <row r="44" customFormat="false" ht="15.75" hidden="false" customHeight="true" outlineLevel="0" collapsed="false">
      <c r="A44" s="32" t="str">
        <f aca="false">IF('09_BATCH GROWTH LOG'!B44="","",'09_BATCH GROWTH LOG'!B44)</f>
        <v/>
      </c>
      <c r="B44" s="32" t="str">
        <f aca="false">IF('09_BATCH GROWTH LOG'!C44="","",'09_BATCH GROWTH LOG'!C44)</f>
        <v/>
      </c>
      <c r="C44" s="32" t="str">
        <f aca="false">IF('09_BATCH GROWTH LOG'!F44="","",'09_BATCH GROWTH LOG'!F44)</f>
        <v/>
      </c>
      <c r="D44" s="32" t="str">
        <f aca="false">IF('09_BATCH GROWTH LOG'!G44="","",'09_BATCH GROWTH LOG'!G44)</f>
        <v/>
      </c>
      <c r="E44" s="32" t="str">
        <f aca="false">IFERROR(IF($A44="","",INDEX('11_ASSAY RESULTS'!$E$5:$E$44,MATCH($A44&amp;"|"&amp;$B44,'11_ASSAY RESULTS'!$P$5:$P$44,0))),"")</f>
        <v/>
      </c>
      <c r="F44" s="21" t="str">
        <f aca="false">IFERROR(IF(OR(E44="",'10_STANDARD CURVES'!$B$15=""),"",(E44-'10_STANDARD CURVES'!$B$16)/'10_STANDARD CURVES'!$B$15*IF(IFERROR(INDEX('11_ASSAY RESULTS'!$F$5:$F$44,MATCH($A44&amp;"|"&amp;$B44,'11_ASSAY RESULTS'!$P$5:$P$44,0)),"")="",1,IFERROR(INDEX('11_ASSAY RESULTS'!$F$5:$F$44,MATCH($A44&amp;"|"&amp;$B44,'11_ASSAY RESULTS'!$P$5:$P$44,0)),""))),"")</f>
        <v/>
      </c>
      <c r="G44" s="32" t="str">
        <f aca="false">IFERROR(IF($A44="","",INDEX('11_ASSAY RESULTS'!$G$5:$G$44,MATCH($A44&amp;"|"&amp;$B44,'11_ASSAY RESULTS'!$P$5:$P$44,0))),"")</f>
        <v/>
      </c>
      <c r="H44" s="21" t="str">
        <f aca="false">IFERROR(IF(OR(G44="",'10_STANDARD CURVES'!$F$15=""),"",(G44-'10_STANDARD CURVES'!$F$16)/'10_STANDARD CURVES'!$F$15*IF(IFERROR(INDEX('11_ASSAY RESULTS'!$H$5:$H$44,MATCH($A44&amp;"|"&amp;$B44,'11_ASSAY RESULTS'!$P$5:$P$44,0)),"")="",1,IFERROR(INDEX('11_ASSAY RESULTS'!$H$5:$H$44,MATCH($A44&amp;"|"&amp;$B44,'11_ASSAY RESULTS'!$P$5:$P$44,0)),""))),"")</f>
        <v/>
      </c>
      <c r="I44" s="32" t="str">
        <f aca="false">IFERROR(IF($A44="","",INDEX('11_ASSAY RESULTS'!$I$5:$I$44,MATCH($A44&amp;"|"&amp;$B44,'11_ASSAY RESULTS'!$P$5:$P$44,0))),"")</f>
        <v/>
      </c>
      <c r="J44" s="32" t="str">
        <f aca="false">IFERROR(IF($A44="","",INDEX('11_ASSAY RESULTS'!$J$5:$J$44,MATCH($A44&amp;"|"&amp;$B44,'11_ASSAY RESULTS'!$P$5:$P$44,0))),"")</f>
        <v/>
      </c>
      <c r="K44" s="32" t="str">
        <f aca="false">IFERROR(IF($A44="","",INDEX('11_ASSAY RESULTS'!$L$5:$L$44,MATCH($A44&amp;"|"&amp;$B44,'11_ASSAY RESULTS'!$P$5:$P$44,0))),"")</f>
        <v/>
      </c>
      <c r="L44" s="32" t="str">
        <f aca="false">IFERROR(IF($A44="","",INDEX('11_ASSAY RESULTS'!$M$5:$M$44,MATCH($A44&amp;"|"&amp;$B44,'11_ASSAY RESULTS'!$P$5:$P$44,0))),"")</f>
        <v/>
      </c>
      <c r="M44" s="21" t="str">
        <f aca="false">IFERROR(IF(AND(K44="",L44=""),"",AVERAGE(K44:L44)),"")</f>
        <v/>
      </c>
      <c r="N44" s="41" t="str">
        <f aca="false">IFERROR(IF(OR(M44="",I44="",J44=""),"",M44*J44*0.09008/I44*100),"")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703125" defaultRowHeight="15" zeroHeight="false" outlineLevelRow="0" outlineLevelCol="0"/>
  <cols>
    <col collapsed="false" customWidth="true" hidden="false" outlineLevel="0" max="1" min="1" style="1" width="8.42"/>
    <col collapsed="false" customWidth="true" hidden="false" outlineLevel="0" max="2" min="2" style="1" width="14"/>
    <col collapsed="false" customWidth="true" hidden="false" outlineLevel="0" max="3" min="3" style="1" width="30"/>
    <col collapsed="false" customWidth="true" hidden="false" outlineLevel="0" max="5" min="4" style="1" width="22"/>
    <col collapsed="false" customWidth="true" hidden="false" outlineLevel="0" max="6" min="6" style="1" width="20"/>
    <col collapsed="false" customWidth="true" hidden="false" outlineLevel="0" max="7" min="7" style="1" width="26"/>
  </cols>
  <sheetData>
    <row r="1" customFormat="false" ht="19.5" hidden="false" customHeight="true" outlineLevel="0" collapsed="false">
      <c r="A1" s="10" t="s">
        <v>477</v>
      </c>
      <c r="B1" s="10"/>
      <c r="C1" s="10"/>
      <c r="D1" s="10"/>
      <c r="E1" s="10"/>
      <c r="F1" s="10"/>
      <c r="G1" s="10"/>
    </row>
    <row r="2" customFormat="false" ht="13.5" hidden="false" customHeight="true" outlineLevel="0" collapsed="false">
      <c r="A2" s="3"/>
    </row>
    <row r="4" customFormat="false" ht="30" hidden="false" customHeight="true" outlineLevel="0" collapsed="false">
      <c r="A4" s="18" t="s">
        <v>55</v>
      </c>
      <c r="B4" s="18" t="s">
        <v>478</v>
      </c>
      <c r="C4" s="18" t="s">
        <v>479</v>
      </c>
      <c r="D4" s="18" t="s">
        <v>480</v>
      </c>
      <c r="E4" s="18" t="s">
        <v>481</v>
      </c>
      <c r="F4" s="18" t="s">
        <v>482</v>
      </c>
      <c r="G4" s="18" t="s">
        <v>58</v>
      </c>
    </row>
    <row r="5" customFormat="false" ht="15.75" hidden="false" customHeight="true" outlineLevel="0" collapsed="false">
      <c r="A5" s="19" t="n">
        <v>1</v>
      </c>
      <c r="B5" s="12" t="s">
        <v>483</v>
      </c>
      <c r="C5" s="12" t="s">
        <v>484</v>
      </c>
      <c r="D5" s="12" t="s">
        <v>485</v>
      </c>
      <c r="E5" s="12" t="s">
        <v>486</v>
      </c>
      <c r="F5" s="12" t="s">
        <v>487</v>
      </c>
      <c r="G5" s="12" t="s">
        <v>488</v>
      </c>
    </row>
    <row r="6" customFormat="false" ht="15.75" hidden="false" customHeight="true" outlineLevel="0" collapsed="false">
      <c r="A6" s="19" t="n">
        <v>2</v>
      </c>
      <c r="B6" s="12" t="s">
        <v>489</v>
      </c>
      <c r="C6" s="12" t="s">
        <v>490</v>
      </c>
      <c r="D6" s="12" t="s">
        <v>403</v>
      </c>
      <c r="E6" s="12" t="s">
        <v>486</v>
      </c>
      <c r="F6" s="12" t="s">
        <v>491</v>
      </c>
      <c r="G6" s="12" t="s">
        <v>492</v>
      </c>
    </row>
    <row r="7" customFormat="false" ht="15.75" hidden="false" customHeight="true" outlineLevel="0" collapsed="false">
      <c r="A7" s="19" t="n">
        <v>3</v>
      </c>
      <c r="B7" s="12" t="s">
        <v>493</v>
      </c>
      <c r="C7" s="12" t="s">
        <v>494</v>
      </c>
      <c r="D7" s="12" t="s">
        <v>403</v>
      </c>
      <c r="E7" s="12" t="s">
        <v>486</v>
      </c>
      <c r="F7" s="12" t="s">
        <v>495</v>
      </c>
      <c r="G7" s="12" t="s">
        <v>496</v>
      </c>
    </row>
    <row r="8" customFormat="false" ht="15.75" hidden="false" customHeight="true" outlineLevel="0" collapsed="false">
      <c r="A8" s="19" t="n">
        <v>4</v>
      </c>
      <c r="B8" s="12" t="s">
        <v>108</v>
      </c>
      <c r="C8" s="12" t="s">
        <v>497</v>
      </c>
      <c r="D8" s="12" t="s">
        <v>403</v>
      </c>
      <c r="E8" s="12" t="s">
        <v>486</v>
      </c>
      <c r="F8" s="12" t="s">
        <v>498</v>
      </c>
      <c r="G8" s="12" t="s">
        <v>499</v>
      </c>
    </row>
    <row r="9" customFormat="false" ht="15.75" hidden="false" customHeight="true" outlineLevel="0" collapsed="false">
      <c r="A9" s="19" t="n">
        <v>5</v>
      </c>
      <c r="B9" s="12" t="s">
        <v>500</v>
      </c>
      <c r="C9" s="12" t="s">
        <v>501</v>
      </c>
      <c r="D9" s="12" t="s">
        <v>502</v>
      </c>
      <c r="E9" s="12" t="s">
        <v>486</v>
      </c>
      <c r="F9" s="12" t="s">
        <v>503</v>
      </c>
      <c r="G9" s="12" t="s">
        <v>504</v>
      </c>
    </row>
    <row r="10" customFormat="false" ht="15.75" hidden="false" customHeight="true" outlineLevel="0" collapsed="false">
      <c r="A10" s="19" t="n">
        <v>6</v>
      </c>
      <c r="B10" s="12" t="s">
        <v>505</v>
      </c>
      <c r="C10" s="12" t="s">
        <v>506</v>
      </c>
      <c r="D10" s="12" t="s">
        <v>403</v>
      </c>
      <c r="E10" s="12" t="s">
        <v>486</v>
      </c>
      <c r="F10" s="12" t="s">
        <v>507</v>
      </c>
      <c r="G10" s="12" t="s">
        <v>508</v>
      </c>
    </row>
    <row r="11" customFormat="false" ht="15.75" hidden="false" customHeight="true" outlineLevel="0" collapsed="false">
      <c r="A11" s="19" t="n">
        <v>7</v>
      </c>
      <c r="B11" s="12" t="s">
        <v>509</v>
      </c>
      <c r="C11" s="12" t="s">
        <v>510</v>
      </c>
      <c r="D11" s="12" t="s">
        <v>403</v>
      </c>
      <c r="E11" s="12" t="s">
        <v>486</v>
      </c>
      <c r="F11" s="12" t="s">
        <v>511</v>
      </c>
      <c r="G11" s="12" t="s">
        <v>512</v>
      </c>
    </row>
    <row r="12" customFormat="false" ht="15.75" hidden="false" customHeight="true" outlineLevel="0" collapsed="false">
      <c r="A12" s="19" t="n">
        <v>8</v>
      </c>
      <c r="B12" s="12" t="s">
        <v>513</v>
      </c>
      <c r="C12" s="12" t="s">
        <v>514</v>
      </c>
      <c r="D12" s="12" t="s">
        <v>515</v>
      </c>
      <c r="E12" s="12" t="s">
        <v>486</v>
      </c>
      <c r="F12" s="12" t="s">
        <v>516</v>
      </c>
      <c r="G12" s="12" t="s">
        <v>517</v>
      </c>
    </row>
    <row r="13" customFormat="false" ht="15.75" hidden="false" customHeight="true" outlineLevel="0" collapsed="false">
      <c r="A13" s="19" t="n">
        <v>9</v>
      </c>
      <c r="B13" s="12" t="s">
        <v>518</v>
      </c>
      <c r="C13" s="12" t="s">
        <v>519</v>
      </c>
      <c r="D13" s="12" t="s">
        <v>520</v>
      </c>
      <c r="E13" s="12" t="s">
        <v>486</v>
      </c>
      <c r="F13" s="12" t="s">
        <v>521</v>
      </c>
      <c r="G13" s="12" t="s">
        <v>522</v>
      </c>
    </row>
    <row r="14" customFormat="false" ht="15.75" hidden="false" customHeight="true" outlineLevel="0" collapsed="false">
      <c r="A14" s="19" t="n">
        <v>10</v>
      </c>
      <c r="B14" s="12" t="s">
        <v>523</v>
      </c>
      <c r="C14" s="12" t="s">
        <v>524</v>
      </c>
      <c r="D14" s="12" t="s">
        <v>525</v>
      </c>
      <c r="E14" s="12" t="s">
        <v>486</v>
      </c>
      <c r="F14" s="12" t="s">
        <v>526</v>
      </c>
      <c r="G14" s="12" t="s">
        <v>527</v>
      </c>
    </row>
    <row r="15" customFormat="false" ht="15.75" hidden="false" customHeight="true" outlineLevel="0" collapsed="false">
      <c r="A15" s="19" t="n">
        <v>11</v>
      </c>
      <c r="B15" s="12" t="s">
        <v>260</v>
      </c>
      <c r="C15" s="12" t="s">
        <v>528</v>
      </c>
      <c r="D15" s="12" t="s">
        <v>529</v>
      </c>
      <c r="E15" s="12" t="s">
        <v>486</v>
      </c>
      <c r="F15" s="12" t="s">
        <v>530</v>
      </c>
      <c r="G15" s="12" t="s">
        <v>531</v>
      </c>
    </row>
    <row r="16" customFormat="false" ht="15.75" hidden="false" customHeight="true" outlineLevel="0" collapsed="false">
      <c r="A16" s="19" t="n">
        <v>12</v>
      </c>
      <c r="B16" s="12" t="s">
        <v>532</v>
      </c>
      <c r="C16" s="12" t="s">
        <v>533</v>
      </c>
      <c r="D16" s="12" t="s">
        <v>403</v>
      </c>
      <c r="E16" s="12" t="s">
        <v>486</v>
      </c>
      <c r="F16" s="12" t="s">
        <v>534</v>
      </c>
      <c r="G16" s="12" t="s">
        <v>535</v>
      </c>
    </row>
    <row r="17" customFormat="false" ht="15.75" hidden="false" customHeight="true" outlineLevel="0" collapsed="false">
      <c r="A17" s="19" t="n">
        <v>13</v>
      </c>
      <c r="B17" s="12" t="s">
        <v>536</v>
      </c>
      <c r="C17" s="12" t="s">
        <v>537</v>
      </c>
      <c r="D17" s="12" t="s">
        <v>538</v>
      </c>
      <c r="E17" s="12" t="s">
        <v>486</v>
      </c>
      <c r="F17" s="12" t="s">
        <v>539</v>
      </c>
      <c r="G17" s="12" t="s">
        <v>540</v>
      </c>
    </row>
    <row r="18" customFormat="false" ht="15.75" hidden="false" customHeight="true" outlineLevel="0" collapsed="false">
      <c r="A18" s="19" t="n">
        <v>14</v>
      </c>
      <c r="B18" s="12" t="s">
        <v>266</v>
      </c>
      <c r="C18" s="12" t="s">
        <v>541</v>
      </c>
      <c r="D18" s="12" t="s">
        <v>542</v>
      </c>
      <c r="E18" s="12" t="s">
        <v>486</v>
      </c>
      <c r="F18" s="12" t="s">
        <v>543</v>
      </c>
      <c r="G18" s="12" t="s">
        <v>544</v>
      </c>
    </row>
    <row r="19" customFormat="false" ht="15.75" hidden="false" customHeight="true" outlineLevel="0" collapsed="false">
      <c r="A19" s="19" t="n">
        <v>15</v>
      </c>
      <c r="B19" s="12" t="s">
        <v>545</v>
      </c>
      <c r="C19" s="12" t="s">
        <v>546</v>
      </c>
      <c r="D19" s="12" t="s">
        <v>547</v>
      </c>
      <c r="E19" s="12" t="s">
        <v>486</v>
      </c>
      <c r="F19" s="12" t="s">
        <v>548</v>
      </c>
      <c r="G19" s="12" t="s">
        <v>549</v>
      </c>
    </row>
    <row r="20" customFormat="false" ht="15.75" hidden="false" customHeight="true" outlineLevel="0" collapsed="false">
      <c r="A20" s="19" t="n">
        <v>16</v>
      </c>
      <c r="B20" s="12" t="s">
        <v>550</v>
      </c>
      <c r="C20" s="12" t="s">
        <v>551</v>
      </c>
      <c r="D20" s="12" t="s">
        <v>403</v>
      </c>
      <c r="E20" s="12" t="s">
        <v>486</v>
      </c>
      <c r="F20" s="12" t="s">
        <v>552</v>
      </c>
      <c r="G20" s="12" t="s">
        <v>549</v>
      </c>
    </row>
    <row r="21" customFormat="false" ht="15" hidden="false" customHeight="false" outlineLevel="0" collapsed="false">
      <c r="A21" s="1" t="n">
        <v>17</v>
      </c>
      <c r="B21" s="1" t="s">
        <v>553</v>
      </c>
      <c r="C21" s="1" t="s">
        <v>554</v>
      </c>
      <c r="D21" s="1" t="s">
        <v>403</v>
      </c>
      <c r="E21" s="1" t="s">
        <v>486</v>
      </c>
      <c r="F21" s="1" t="s">
        <v>555</v>
      </c>
      <c r="G21" s="1" t="s">
        <v>556</v>
      </c>
    </row>
    <row r="22" customFormat="false" ht="30" hidden="false" customHeight="true" outlineLevel="0" collapsed="false">
      <c r="A22" s="17"/>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2026-08-10T18:08:02Z</dcterms:created>
  <dc:creator>openpyxl</dc:creator>
  <dc:description/>
  <dc:language>en-US</dc:language>
  <cp:lastModifiedBy/>
  <dcterms:modified xsi:type="dcterms:W3CDTF">2026-08-13T12:38:56Z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